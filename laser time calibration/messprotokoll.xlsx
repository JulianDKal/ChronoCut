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27"/>
  <workbookPr/>
  <mc:AlternateContent xmlns:mc="http://schemas.openxmlformats.org/markup-compatibility/2006">
    <mc:Choice Requires="x15">
      <x15ac:absPath xmlns:x15ac="http://schemas.microsoft.com/office/spreadsheetml/2010/11/ac" url="D:\Arbeit\LaserTimeCalibration\"/>
    </mc:Choice>
  </mc:AlternateContent>
  <xr:revisionPtr revIDLastSave="0" documentId="13_ncr:1_{4797CA7F-D1C7-4E71-B142-A6B664FAE1A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essprotokoll" sheetId="1" r:id="rId1"/>
    <sheet name="Legende" sheetId="2" r:id="rId2"/>
  </sheets>
  <calcPr calcId="191029"/>
</workbook>
</file>

<file path=xl/calcChain.xml><?xml version="1.0" encoding="utf-8"?>
<calcChain xmlns="http://schemas.openxmlformats.org/spreadsheetml/2006/main">
  <c r="D3" i="2" l="1"/>
  <c r="D2" i="2"/>
  <c r="U80" i="1"/>
  <c r="T80" i="1"/>
  <c r="S80" i="1"/>
  <c r="U79" i="1"/>
  <c r="T79" i="1"/>
  <c r="S79" i="1"/>
  <c r="U78" i="1"/>
  <c r="T78" i="1"/>
  <c r="S78" i="1"/>
  <c r="U77" i="1"/>
  <c r="T77" i="1"/>
  <c r="S77" i="1"/>
  <c r="U76" i="1"/>
  <c r="T76" i="1"/>
  <c r="S76" i="1"/>
  <c r="U73" i="1"/>
  <c r="T73" i="1"/>
  <c r="S73" i="1"/>
  <c r="U72" i="1"/>
  <c r="T72" i="1"/>
  <c r="S72" i="1"/>
  <c r="U71" i="1"/>
  <c r="T71" i="1"/>
  <c r="S71" i="1"/>
  <c r="U70" i="1"/>
  <c r="T70" i="1"/>
  <c r="S70" i="1"/>
  <c r="U69" i="1"/>
  <c r="T69" i="1"/>
  <c r="S69" i="1"/>
  <c r="U68" i="1"/>
  <c r="T68" i="1"/>
  <c r="S68" i="1"/>
  <c r="U67" i="1"/>
  <c r="T67" i="1"/>
  <c r="S67" i="1"/>
  <c r="U66" i="1"/>
  <c r="T66" i="1"/>
  <c r="S66" i="1"/>
  <c r="U65" i="1"/>
  <c r="T65" i="1"/>
  <c r="S65" i="1"/>
  <c r="U64" i="1"/>
  <c r="T64" i="1"/>
  <c r="S64" i="1"/>
  <c r="U63" i="1"/>
  <c r="T63" i="1"/>
  <c r="S63" i="1"/>
  <c r="U62" i="1"/>
  <c r="T62" i="1"/>
  <c r="S62" i="1"/>
  <c r="U61" i="1"/>
  <c r="T61" i="1"/>
  <c r="S61" i="1"/>
  <c r="U60" i="1"/>
  <c r="T60" i="1"/>
  <c r="S60" i="1"/>
  <c r="U59" i="1"/>
  <c r="T59" i="1"/>
  <c r="S59" i="1"/>
  <c r="U58" i="1"/>
  <c r="T58" i="1"/>
  <c r="S58" i="1"/>
  <c r="U57" i="1"/>
  <c r="T57" i="1"/>
  <c r="S57" i="1"/>
  <c r="U56" i="1"/>
  <c r="T56" i="1"/>
  <c r="S56" i="1"/>
  <c r="U55" i="1"/>
  <c r="T55" i="1"/>
  <c r="S55" i="1"/>
  <c r="U54" i="1"/>
  <c r="T54" i="1"/>
  <c r="S54" i="1"/>
  <c r="U53" i="1"/>
  <c r="T53" i="1"/>
  <c r="S53" i="1"/>
  <c r="U52" i="1"/>
  <c r="T52" i="1"/>
  <c r="S52" i="1"/>
  <c r="U51" i="1"/>
  <c r="T51" i="1"/>
  <c r="S51" i="1"/>
  <c r="U48" i="1"/>
  <c r="T48" i="1"/>
  <c r="S48" i="1"/>
  <c r="U47" i="1"/>
  <c r="T47" i="1"/>
  <c r="S47" i="1"/>
  <c r="U46" i="1"/>
  <c r="T46" i="1"/>
  <c r="S46" i="1"/>
  <c r="U45" i="1"/>
  <c r="T45" i="1"/>
  <c r="S45" i="1"/>
  <c r="U44" i="1"/>
  <c r="T44" i="1"/>
  <c r="S44" i="1"/>
  <c r="U43" i="1"/>
  <c r="T43" i="1"/>
  <c r="S43" i="1"/>
  <c r="U42" i="1"/>
  <c r="T42" i="1"/>
  <c r="S42" i="1"/>
  <c r="U41" i="1"/>
  <c r="T41" i="1"/>
  <c r="S41" i="1"/>
  <c r="U40" i="1"/>
  <c r="T40" i="1"/>
  <c r="S40" i="1"/>
  <c r="U39" i="1"/>
  <c r="T39" i="1"/>
  <c r="S39" i="1"/>
  <c r="U38" i="1"/>
  <c r="T38" i="1"/>
  <c r="S38" i="1"/>
  <c r="U37" i="1"/>
  <c r="T37" i="1"/>
  <c r="S37" i="1"/>
  <c r="U36" i="1"/>
  <c r="T36" i="1"/>
  <c r="S36" i="1"/>
  <c r="U35" i="1"/>
  <c r="T35" i="1"/>
  <c r="S35" i="1"/>
  <c r="U34" i="1"/>
  <c r="T34" i="1"/>
  <c r="S34" i="1"/>
  <c r="U33" i="1"/>
  <c r="T33" i="1"/>
  <c r="S33" i="1"/>
  <c r="U32" i="1"/>
  <c r="T32" i="1"/>
  <c r="S32" i="1"/>
  <c r="U31" i="1"/>
  <c r="T31" i="1"/>
  <c r="S31" i="1"/>
  <c r="U30" i="1"/>
  <c r="T30" i="1"/>
  <c r="S30" i="1"/>
  <c r="U29" i="1"/>
  <c r="T29" i="1"/>
  <c r="S29" i="1"/>
  <c r="U28" i="1"/>
  <c r="T28" i="1"/>
  <c r="S28" i="1"/>
  <c r="U27" i="1"/>
  <c r="T27" i="1"/>
  <c r="S27" i="1"/>
  <c r="U26" i="1"/>
  <c r="T26" i="1"/>
  <c r="S26" i="1"/>
  <c r="U25" i="1"/>
  <c r="T25" i="1"/>
  <c r="S25" i="1"/>
  <c r="U24" i="1"/>
  <c r="T24" i="1"/>
  <c r="S24" i="1"/>
  <c r="U23" i="1"/>
  <c r="T23" i="1"/>
  <c r="S23" i="1"/>
  <c r="U22" i="1"/>
  <c r="T22" i="1"/>
  <c r="S22" i="1"/>
  <c r="U21" i="1"/>
  <c r="T21" i="1"/>
  <c r="S21" i="1"/>
  <c r="U20" i="1"/>
  <c r="T20" i="1"/>
  <c r="S20" i="1"/>
  <c r="U19" i="1"/>
  <c r="T19" i="1"/>
  <c r="S19" i="1"/>
  <c r="U18" i="1"/>
  <c r="T18" i="1"/>
  <c r="S18" i="1"/>
  <c r="U17" i="1"/>
  <c r="T17" i="1"/>
  <c r="S17" i="1"/>
  <c r="U16" i="1"/>
  <c r="T16" i="1"/>
  <c r="S16" i="1"/>
  <c r="U15" i="1"/>
  <c r="T15" i="1"/>
  <c r="S15" i="1"/>
  <c r="U14" i="1"/>
  <c r="T14" i="1"/>
  <c r="S14" i="1"/>
  <c r="U13" i="1"/>
  <c r="T13" i="1"/>
  <c r="S13" i="1"/>
  <c r="U12" i="1"/>
  <c r="T12" i="1"/>
  <c r="S12" i="1"/>
  <c r="U11" i="1"/>
  <c r="T11" i="1"/>
  <c r="S11" i="1"/>
  <c r="U10" i="1"/>
  <c r="T10" i="1"/>
  <c r="S10" i="1"/>
  <c r="U9" i="1"/>
  <c r="T9" i="1"/>
  <c r="S9" i="1"/>
  <c r="U8" i="1"/>
  <c r="T8" i="1"/>
  <c r="S8" i="1"/>
  <c r="U7" i="1"/>
  <c r="T7" i="1"/>
  <c r="S7" i="1"/>
  <c r="U6" i="1"/>
  <c r="T6" i="1"/>
  <c r="S6" i="1"/>
  <c r="U5" i="1"/>
  <c r="T5" i="1"/>
  <c r="S5" i="1"/>
  <c r="U4" i="1"/>
  <c r="T4" i="1"/>
  <c r="S4" i="1"/>
  <c r="U3" i="1"/>
  <c r="T3" i="1"/>
  <c r="S3" i="1"/>
  <c r="U2" i="1"/>
  <c r="T2" i="1"/>
  <c r="S2" i="1"/>
</calcChain>
</file>

<file path=xl/sharedStrings.xml><?xml version="1.0" encoding="utf-8"?>
<sst xmlns="http://schemas.openxmlformats.org/spreadsheetml/2006/main" count="273" uniqueCount="167">
  <si>
    <t>file</t>
  </si>
  <si>
    <t>dpi</t>
  </si>
  <si>
    <t>est E</t>
  </si>
  <si>
    <t>meas E</t>
  </si>
  <si>
    <t>opt_est E</t>
  </si>
  <si>
    <t>opt_meas E</t>
  </si>
  <si>
    <t>est G</t>
  </si>
  <si>
    <t>meas G</t>
  </si>
  <si>
    <t>opt_est G</t>
  </si>
  <si>
    <t>opt_meas G</t>
  </si>
  <si>
    <t>est CC</t>
  </si>
  <si>
    <t>opt_est CC</t>
  </si>
  <si>
    <t>est D</t>
  </si>
  <si>
    <t>opt_est D</t>
  </si>
  <si>
    <t>opt_est D%</t>
  </si>
  <si>
    <t>vector_length_mm</t>
  </si>
  <si>
    <t>num_segments</t>
  </si>
  <si>
    <t>segment_length_mm</t>
  </si>
  <si>
    <t>area_mm2</t>
  </si>
  <si>
    <t>width_mm</t>
  </si>
  <si>
    <t>height_mm</t>
  </si>
  <si>
    <t>scan_lines_at_ref_dpi</t>
  </si>
  <si>
    <t>purpose</t>
  </si>
  <si>
    <t>note</t>
  </si>
  <si>
    <t>01_overhead_dot</t>
  </si>
  <si>
    <t>-</t>
  </si>
  <si>
    <t>Fixkosten/Overhead</t>
  </si>
  <si>
    <t>02_overhead_shortline</t>
  </si>
  <si>
    <t>03_vline_25</t>
  </si>
  <si>
    <t>Laenge-&gt;Geschw. (hin&amp;her x20)</t>
  </si>
  <si>
    <t>04_vline_50</t>
  </si>
  <si>
    <t>05_vline_100</t>
  </si>
  <si>
    <t>Laenge-&gt;Geschw. (auch Speed-Sweep)</t>
  </si>
  <si>
    <t>06_vline_175</t>
  </si>
  <si>
    <t>07_vline_250</t>
  </si>
  <si>
    <t>08_zigzag_n4</t>
  </si>
  <si>
    <t>Ecken/Beschl. (Serpentine x8)</t>
  </si>
  <si>
    <t>09_zigzag_n8</t>
  </si>
  <si>
    <t>10_zigzag_n16</t>
  </si>
  <si>
    <t>11_zigzag_n32</t>
  </si>
  <si>
    <t>Ecken/Beschl. (auch Speed-Sweep)</t>
  </si>
  <si>
    <t>12_zigzag_n64</t>
  </si>
  <si>
    <t>13_zigzag_n128</t>
  </si>
  <si>
    <t>14_circle_d80</t>
  </si>
  <si>
    <t>Kurve (12x konzentrisch)</t>
  </si>
  <si>
    <t>15_polygon_12</t>
  </si>
  <si>
    <t>Vieleck (12x konzentrisch)</t>
  </si>
  <si>
    <t>16_polygon_48</t>
  </si>
  <si>
    <t>17_dashes_2mm</t>
  </si>
  <si>
    <t>Kurzweg+Leerweg (40x)</t>
  </si>
  <si>
    <t>18_dashes_5mm</t>
  </si>
  <si>
    <t>19_dashes_10mm</t>
  </si>
  <si>
    <t>20_rast_50x10</t>
  </si>
  <si>
    <t>Hoehe-&gt;Scanzeilen</t>
  </si>
  <si>
    <t>21_rast_50x20</t>
  </si>
  <si>
    <t>22_rast_50x40</t>
  </si>
  <si>
    <t>23_rast_50x80</t>
  </si>
  <si>
    <t>24_rast_50x160</t>
  </si>
  <si>
    <t>25_rast_10x40</t>
  </si>
  <si>
    <t>Breite-&gt;Scanlaenge/Overscan</t>
  </si>
  <si>
    <t>26_rast_25x40</t>
  </si>
  <si>
    <t>27_rast_75x40</t>
  </si>
  <si>
    <t>28_rast_100x40</t>
  </si>
  <si>
    <t>29_rast_150x40</t>
  </si>
  <si>
    <t>30_rast_frame</t>
  </si>
  <si>
    <t>Raster-Strategie: leere Zeilen?</t>
  </si>
  <si>
    <t>Rahmen mit Loch -- testet ob leere Zeilen gescannt werden</t>
  </si>
  <si>
    <t>31_rast_twocol</t>
  </si>
  <si>
    <t>Raster-Strategie: Gap scannen?</t>
  </si>
  <si>
    <t>testet ob grosser Leerraum zwischen Inseln gescannt wird</t>
  </si>
  <si>
    <t>32_rast_triangle</t>
  </si>
  <si>
    <t>Raster-Strategie: variable Zeilenlaenge</t>
  </si>
  <si>
    <t>variable Zeilenlaenge pro Scanzeile</t>
  </si>
  <si>
    <t>33_rast_ref_80x80</t>
  </si>
  <si>
    <t>Referenz (DPI/Speed-Sweep)</t>
  </si>
  <si>
    <t>34_combo_A</t>
  </si>
  <si>
    <t>Validierung (nicht fitten)</t>
  </si>
  <si>
    <t>Schnitt+Gravur gemischt, Referenz-Settings</t>
  </si>
  <si>
    <t>35_combo_B</t>
  </si>
  <si>
    <t>Speed-Sweep Vektor</t>
  </si>
  <si>
    <t>Speed-Sweep Ecken</t>
  </si>
  <si>
    <t>DPI/Speed-Sweep Raster</t>
  </si>
  <si>
    <t>Raster-Speed 60 % (Luecke oberhalb 40 %)</t>
  </si>
  <si>
    <t>Raster-Speed 80 % (Luecke oberhalb 40 %)</t>
  </si>
  <si>
    <t>Raster-Speed 100 % (Luecke oberhalb 40 %)</t>
  </si>
  <si>
    <t>Y-Vorschub, 2. Hoehe @300dpi</t>
  </si>
  <si>
    <t>Y-Vorschub, 2. Hoehe @1200dpi</t>
  </si>
  <si>
    <t>36_order_natural</t>
  </si>
  <si>
    <t>Reihenfolge: zeilenweise (guenstig)</t>
  </si>
  <si>
    <t>37_order_shuffled</t>
  </si>
  <si>
    <t>Reihenfolge: maximal unguenstig (identische Geometrie wie 36)</t>
  </si>
  <si>
    <t>38_order_nntrap</t>
  </si>
  <si>
    <t>NN-Falle: Greedy faehrt 1428mm mehr Leerweg als 2-opt (seed 1293)</t>
  </si>
  <si>
    <t>Winzige Quadrate -&gt; Leerweg dominiert -&gt; Reihenfolge-Algorithmus gut ablesbar</t>
  </si>
  <si>
    <t>39_travel_grid_p08</t>
  </si>
  <si>
    <t>Leerweg-Geschw.: 100 Quadrate im Raster, Rastermass 8mm</t>
  </si>
  <si>
    <t>Schnittgeometrie identisch zu 39-41, NUR der Leerweg unterscheidet sich</t>
  </si>
  <si>
    <t>40_travel_grid_p25</t>
  </si>
  <si>
    <t>Leerweg-Geschw.: 100 Quadrate im Raster, Rastermass 25mm</t>
  </si>
  <si>
    <t>41_travel_grid_p60</t>
  </si>
  <si>
    <t>Leerweg-Geschw.: 100 Quadrate im Raster, Rastermass 60mm</t>
  </si>
  <si>
    <t>42_home_near</t>
  </si>
  <si>
    <t>Anfahrt/Heimweg: Quadrat an der Startecke</t>
  </si>
  <si>
    <t>43_home_far</t>
  </si>
  <si>
    <t>Anfahrt/Heimweg: Quadrat in der Gegenecke</t>
  </si>
  <si>
    <t>Differenz zu 42 = 1x Anfahrt (~1160mm) bzw. 2x wenn auch der Heimweg zaehlt</t>
  </si>
  <si>
    <t>44_vecstart_stack</t>
  </si>
  <si>
    <t>Startaufwand je Vektor (200 getrennte Striche, Leerweg ~0)</t>
  </si>
  <si>
    <t>(Zeit minus Schnittzeit) / 200 = Aufwand je Vektorstart</t>
  </si>
  <si>
    <t>45_angle_08</t>
  </si>
  <si>
    <t>Eckenwinkel-Schwelle: Knick 8°</t>
  </si>
  <si>
    <t>Laenge und Eckenzahl identisch zu 45-49, nur der Winkel unterscheidet sich</t>
  </si>
  <si>
    <t>46_angle_14</t>
  </si>
  <si>
    <t>Eckenwinkel-Schwelle: Knick 14°</t>
  </si>
  <si>
    <t>47_angle_20</t>
  </si>
  <si>
    <t>Eckenwinkel-Schwelle: Knick 20°</t>
  </si>
  <si>
    <t>48_angle_26</t>
  </si>
  <si>
    <t>Eckenwinkel-Schwelle: Knick 26°</t>
  </si>
  <si>
    <t>49_angle_32</t>
  </si>
  <si>
    <t>Eckenwinkel-Schwelle: Knick 32°</t>
  </si>
  <si>
    <t>50_bezier_circles</t>
  </si>
  <si>
    <t>Echte Bezierkreise (5 Radien)</t>
  </si>
  <si>
    <t>Vergleich mit 51 zeigt, wie fein der Treiber Kurven zerlegt</t>
  </si>
  <si>
    <t>51_poly_circles</t>
  </si>
  <si>
    <t>Dieselben Kreise als 144-Eck</t>
  </si>
  <si>
    <t>Gleiche Laenge wie 50, aber 144 echte Stuetzpunkte je Kreis</t>
  </si>
  <si>
    <t>52_rast_vgap_05</t>
  </si>
  <si>
    <t>Raster: zwei Bloecke, 5mm vertikaler Abstand</t>
  </si>
  <si>
    <t>Gleiche Gravurflaeche in 52 und 53 — Differenz zeigt, ob das leere Band mitgefahren wird</t>
  </si>
  <si>
    <t>53_rast_vgap_60</t>
  </si>
  <si>
    <t>Raster: zwei Bloecke, 60mm vertikaler Abstand</t>
  </si>
  <si>
    <t>est</t>
  </si>
  <si>
    <t>meas</t>
  </si>
  <si>
    <t>opt_est</t>
  </si>
  <si>
    <t>opt_meas</t>
  </si>
  <si>
    <t>E</t>
  </si>
  <si>
    <t>G</t>
  </si>
  <si>
    <t>Xinyi_Finnpappe_1,5mm.pdf</t>
  </si>
  <si>
    <t>ChronoCut auf der bereinigten Datei (weiss entfernt, schwarz-&gt;blau)</t>
  </si>
  <si>
    <t>Xinyi_Finnpappe_2mm.pdf</t>
  </si>
  <si>
    <t>Xinyi_Wellenpappe_1,5mm_1.pdf</t>
  </si>
  <si>
    <t>Xinyi_Wellenpappe_1,5mm_2.pdf</t>
  </si>
  <si>
    <t>Magnettraeger_Anordnung_2</t>
  </si>
  <si>
    <t>UMRECHNER</t>
  </si>
  <si>
    <t>power</t>
  </si>
  <si>
    <t>8/20</t>
  </si>
  <si>
    <t>speed</t>
  </si>
  <si>
    <t>--&gt;</t>
  </si>
  <si>
    <t>01:12</t>
  </si>
  <si>
    <t>preset</t>
  </si>
  <si>
    <t>Finnpappe_1_5mm</t>
  </si>
  <si>
    <t>Finnpappe_2_0mm</t>
  </si>
  <si>
    <t>Wellpappe_1_0mm *</t>
  </si>
  <si>
    <t>MDF_3_0mm ?</t>
  </si>
  <si>
    <t>Sekunden</t>
  </si>
  <si>
    <t>mm:ss</t>
  </si>
  <si>
    <t>estimated time in seconds</t>
  </si>
  <si>
    <t>measured time in seconds</t>
  </si>
  <si>
    <t>fast print with epilog job manager - estimated time in seconds</t>
  </si>
  <si>
    <t>fast print with epilog job manager - measured time in seconds</t>
  </si>
  <si>
    <t>Edgar (60W Laser)</t>
  </si>
  <si>
    <t>George (120W Laser)</t>
  </si>
  <si>
    <t>ChronoCut estimated time in seconds</t>
  </si>
  <si>
    <t>ChronoCut optimized estimated time in seconds</t>
  </si>
  <si>
    <t>CC est minus est E</t>
  </si>
  <si>
    <t>CC opt_est minus opt_est E</t>
  </si>
  <si>
    <t>relative Abweichung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</si>
</sst>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8" formatCode="#,##0\ &quot;s&quot;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color theme="0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4" fillId="0" borderId="0" xfId="0" applyFont="1"/>
    <xf numFmtId="3" fontId="2" fillId="0" borderId="0" xfId="0" applyNumberFormat="1" applyFont="1"/>
    <xf numFmtId="3" fontId="0" fillId="0" borderId="0" xfId="0" applyNumberFormat="1"/>
    <xf numFmtId="164" fontId="2" fillId="0" borderId="0" xfId="0" applyNumberFormat="1" applyFont="1"/>
    <xf numFmtId="164" fontId="0" fillId="0" borderId="0" xfId="0" applyNumberFormat="1"/>
    <xf numFmtId="0" fontId="1" fillId="6" borderId="0" xfId="0" applyFont="1" applyFill="1"/>
    <xf numFmtId="2" fontId="2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 vertical="center"/>
    </xf>
    <xf numFmtId="49" fontId="0" fillId="7" borderId="0" xfId="0" applyNumberFormat="1" applyFill="1" applyAlignment="1">
      <alignment horizontal="right"/>
    </xf>
    <xf numFmtId="168" fontId="0" fillId="7" borderId="0" xfId="0" applyNumberFormat="1" applyFill="1" applyAlignment="1">
      <alignment horizontal="right"/>
    </xf>
    <xf numFmtId="0" fontId="5" fillId="5" borderId="0" xfId="0" applyFon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4"/>
  <sheetViews>
    <sheetView topLeftCell="X1" zoomScale="69" zoomScaleNormal="55" workbookViewId="0">
      <pane ySplit="1" topLeftCell="A65" activePane="bottomLeft" state="frozen"/>
      <selection pane="bottomLeft" activeCell="D90" sqref="D90"/>
    </sheetView>
  </sheetViews>
  <sheetFormatPr baseColWidth="10" defaultColWidth="12.77734375" defaultRowHeight="14.4" x14ac:dyDescent="0.3"/>
  <cols>
    <col min="1" max="1" width="24" customWidth="1"/>
    <col min="2" max="2" width="7.6640625" customWidth="1"/>
    <col min="3" max="3" width="7.44140625" customWidth="1"/>
    <col min="4" max="4" width="8.109375" customWidth="1"/>
    <col min="5" max="5" width="8.5546875" customWidth="1"/>
    <col min="6" max="22" width="12.77734375" customWidth="1"/>
    <col min="23" max="23" width="24.77734375" bestFit="1" customWidth="1"/>
    <col min="24" max="24" width="19.5546875" bestFit="1" customWidth="1"/>
    <col min="25" max="25" width="26.5546875" bestFit="1" customWidth="1"/>
    <col min="26" max="26" width="14" bestFit="1" customWidth="1"/>
    <col min="27" max="27" width="13.6640625" bestFit="1" customWidth="1"/>
    <col min="28" max="28" width="14.6640625" bestFit="1" customWidth="1"/>
    <col min="29" max="29" width="31" bestFit="1" customWidth="1"/>
    <col min="30" max="30" width="40" bestFit="1" customWidth="1"/>
    <col min="31" max="31" width="62.5546875" customWidth="1"/>
  </cols>
  <sheetData>
    <row r="1" spans="1:31" x14ac:dyDescent="0.3">
      <c r="A1" s="5" t="s">
        <v>0</v>
      </c>
      <c r="B1" s="5" t="s">
        <v>1</v>
      </c>
      <c r="C1" s="5" t="s">
        <v>146</v>
      </c>
      <c r="D1" s="5" t="s">
        <v>144</v>
      </c>
      <c r="E1" s="17" t="s">
        <v>149</v>
      </c>
      <c r="G1" s="3" t="s">
        <v>2</v>
      </c>
      <c r="H1" s="3" t="s">
        <v>3</v>
      </c>
      <c r="I1" s="3" t="s">
        <v>4</v>
      </c>
      <c r="J1" s="3" t="s">
        <v>5</v>
      </c>
      <c r="L1" s="2" t="s">
        <v>6</v>
      </c>
      <c r="M1" s="2" t="s">
        <v>7</v>
      </c>
      <c r="N1" s="2" t="s">
        <v>8</v>
      </c>
      <c r="O1" s="2" t="s">
        <v>9</v>
      </c>
      <c r="Q1" s="4" t="s">
        <v>10</v>
      </c>
      <c r="R1" s="4" t="s">
        <v>11</v>
      </c>
      <c r="S1" s="4" t="s">
        <v>12</v>
      </c>
      <c r="T1" s="4" t="s">
        <v>13</v>
      </c>
      <c r="U1" s="4" t="s">
        <v>14</v>
      </c>
      <c r="W1" s="11" t="s">
        <v>15</v>
      </c>
      <c r="X1" s="11" t="s">
        <v>16</v>
      </c>
      <c r="Y1" s="11" t="s">
        <v>17</v>
      </c>
      <c r="Z1" s="11" t="s">
        <v>18</v>
      </c>
      <c r="AA1" s="11" t="s">
        <v>19</v>
      </c>
      <c r="AB1" s="11" t="s">
        <v>20</v>
      </c>
      <c r="AC1" s="11" t="s">
        <v>21</v>
      </c>
      <c r="AD1" s="11" t="s">
        <v>22</v>
      </c>
      <c r="AE1" s="11" t="s">
        <v>23</v>
      </c>
    </row>
    <row r="2" spans="1:31" x14ac:dyDescent="0.3">
      <c r="A2" s="1" t="s">
        <v>24</v>
      </c>
      <c r="B2" s="1" t="s">
        <v>25</v>
      </c>
      <c r="C2" s="1">
        <v>8</v>
      </c>
      <c r="D2" s="1">
        <v>0</v>
      </c>
      <c r="E2" s="1"/>
      <c r="G2" s="1">
        <v>1</v>
      </c>
      <c r="H2" s="1">
        <v>1</v>
      </c>
      <c r="I2" s="6">
        <v>1</v>
      </c>
      <c r="J2" s="6">
        <v>1</v>
      </c>
      <c r="Q2" s="1">
        <v>1</v>
      </c>
      <c r="R2" s="1">
        <v>1</v>
      </c>
      <c r="S2" s="1">
        <f t="shared" ref="S2:S48" si="0">IF(AND(ISNUMBER(Q2),ISNUMBER(G2)),Q2-G2,"")</f>
        <v>0</v>
      </c>
      <c r="T2" s="1">
        <f t="shared" ref="T2:T48" si="1">IF(AND(ISNUMBER(R2),ISNUMBER(I2)),R2-I2,"")</f>
        <v>0</v>
      </c>
      <c r="U2" s="9">
        <f t="shared" ref="U2:U48" si="2">IF(AND(ISNUMBER(R2),ISNUMBER(I2),I2&lt;&gt;0),(R2-I2)/I2,"")</f>
        <v>0</v>
      </c>
      <c r="W2" s="1">
        <v>3.14</v>
      </c>
      <c r="X2" s="1">
        <v>1</v>
      </c>
      <c r="Y2" s="1"/>
      <c r="Z2" s="1"/>
      <c r="AA2" s="1"/>
      <c r="AB2" s="1"/>
      <c r="AC2" s="1"/>
      <c r="AD2" s="1" t="s">
        <v>26</v>
      </c>
      <c r="AE2" s="1"/>
    </row>
    <row r="3" spans="1:31" x14ac:dyDescent="0.3">
      <c r="A3" s="1" t="s">
        <v>27</v>
      </c>
      <c r="B3" s="1" t="s">
        <v>25</v>
      </c>
      <c r="C3" s="1">
        <v>8</v>
      </c>
      <c r="D3" s="1">
        <v>0</v>
      </c>
      <c r="E3" s="1"/>
      <c r="G3" s="1">
        <v>1</v>
      </c>
      <c r="H3" s="1">
        <v>1</v>
      </c>
      <c r="I3" s="6">
        <v>1</v>
      </c>
      <c r="J3" s="6">
        <v>1</v>
      </c>
      <c r="Q3" s="1">
        <v>1.3</v>
      </c>
      <c r="R3" s="1">
        <v>1.3</v>
      </c>
      <c r="S3" s="1">
        <f t="shared" si="0"/>
        <v>0.30000000000000004</v>
      </c>
      <c r="T3" s="1">
        <f t="shared" si="1"/>
        <v>0.30000000000000004</v>
      </c>
      <c r="U3" s="9">
        <f t="shared" si="2"/>
        <v>0.30000000000000004</v>
      </c>
      <c r="W3" s="1">
        <v>10</v>
      </c>
      <c r="X3" s="1">
        <v>1</v>
      </c>
      <c r="Y3" s="1"/>
      <c r="Z3" s="1"/>
      <c r="AA3" s="1"/>
      <c r="AB3" s="1"/>
      <c r="AC3" s="1"/>
      <c r="AD3" s="1" t="s">
        <v>26</v>
      </c>
      <c r="AE3" s="1"/>
    </row>
    <row r="4" spans="1:31" x14ac:dyDescent="0.3">
      <c r="A4" s="1" t="s">
        <v>28</v>
      </c>
      <c r="B4" s="1" t="s">
        <v>25</v>
      </c>
      <c r="C4" s="1">
        <v>8</v>
      </c>
      <c r="D4" s="1">
        <v>0</v>
      </c>
      <c r="E4" s="1"/>
      <c r="G4" s="1">
        <v>26</v>
      </c>
      <c r="I4" s="6">
        <v>26</v>
      </c>
      <c r="Q4" s="1">
        <v>26</v>
      </c>
      <c r="R4" s="1">
        <v>26</v>
      </c>
      <c r="S4" s="1">
        <f t="shared" si="0"/>
        <v>0</v>
      </c>
      <c r="T4" s="1">
        <f t="shared" si="1"/>
        <v>0</v>
      </c>
      <c r="U4" s="9">
        <f t="shared" si="2"/>
        <v>0</v>
      </c>
      <c r="W4" s="1">
        <v>500</v>
      </c>
      <c r="X4" s="1">
        <v>20</v>
      </c>
      <c r="Y4" s="1">
        <v>25</v>
      </c>
      <c r="Z4" s="1"/>
      <c r="AA4" s="1"/>
      <c r="AB4" s="1"/>
      <c r="AC4" s="1"/>
      <c r="AD4" s="1" t="s">
        <v>29</v>
      </c>
      <c r="AE4" s="1"/>
    </row>
    <row r="5" spans="1:31" x14ac:dyDescent="0.3">
      <c r="A5" s="1" t="s">
        <v>30</v>
      </c>
      <c r="B5" s="1" t="s">
        <v>25</v>
      </c>
      <c r="C5" s="1">
        <v>8</v>
      </c>
      <c r="D5" s="1">
        <v>0</v>
      </c>
      <c r="E5" s="1"/>
      <c r="G5" s="1">
        <v>51</v>
      </c>
      <c r="I5" s="6">
        <v>51</v>
      </c>
      <c r="Q5" s="1">
        <v>50.8</v>
      </c>
      <c r="R5" s="1">
        <v>50.8</v>
      </c>
      <c r="S5" s="1">
        <f t="shared" si="0"/>
        <v>-0.20000000000000284</v>
      </c>
      <c r="T5" s="1">
        <f t="shared" si="1"/>
        <v>-0.20000000000000284</v>
      </c>
      <c r="U5" s="9">
        <f t="shared" si="2"/>
        <v>-3.9215686274510358E-3</v>
      </c>
      <c r="W5" s="1">
        <v>1000</v>
      </c>
      <c r="X5" s="1">
        <v>20</v>
      </c>
      <c r="Y5" s="1">
        <v>50</v>
      </c>
      <c r="Z5" s="1"/>
      <c r="AA5" s="1"/>
      <c r="AB5" s="1"/>
      <c r="AC5" s="1"/>
      <c r="AD5" s="1" t="s">
        <v>29</v>
      </c>
      <c r="AE5" s="1"/>
    </row>
    <row r="6" spans="1:31" x14ac:dyDescent="0.3">
      <c r="A6" s="1" t="s">
        <v>31</v>
      </c>
      <c r="B6" s="1" t="s">
        <v>25</v>
      </c>
      <c r="C6" s="1">
        <v>8</v>
      </c>
      <c r="D6" s="1">
        <v>0</v>
      </c>
      <c r="E6" s="1"/>
      <c r="G6" s="1">
        <v>100</v>
      </c>
      <c r="I6" s="6">
        <v>100</v>
      </c>
      <c r="Q6" s="1">
        <v>100.4</v>
      </c>
      <c r="R6" s="1">
        <v>100.4</v>
      </c>
      <c r="S6" s="1">
        <f t="shared" si="0"/>
        <v>0.40000000000000568</v>
      </c>
      <c r="T6" s="1">
        <f t="shared" si="1"/>
        <v>0.40000000000000568</v>
      </c>
      <c r="U6" s="9">
        <f t="shared" si="2"/>
        <v>4.0000000000000565E-3</v>
      </c>
      <c r="W6" s="1">
        <v>2000</v>
      </c>
      <c r="X6" s="1">
        <v>20</v>
      </c>
      <c r="Y6" s="1">
        <v>100</v>
      </c>
      <c r="Z6" s="1"/>
      <c r="AA6" s="1"/>
      <c r="AB6" s="1"/>
      <c r="AC6" s="1"/>
      <c r="AD6" s="1" t="s">
        <v>32</v>
      </c>
      <c r="AE6" s="1"/>
    </row>
    <row r="7" spans="1:31" x14ac:dyDescent="0.3">
      <c r="A7" s="1" t="s">
        <v>33</v>
      </c>
      <c r="B7" s="1" t="s">
        <v>25</v>
      </c>
      <c r="C7" s="1">
        <v>8</v>
      </c>
      <c r="D7" s="1">
        <v>0</v>
      </c>
      <c r="E7" s="1"/>
      <c r="G7" s="1">
        <v>174</v>
      </c>
      <c r="I7" s="6">
        <v>174</v>
      </c>
      <c r="Q7" s="1">
        <v>174.8</v>
      </c>
      <c r="R7" s="1">
        <v>174.8</v>
      </c>
      <c r="S7" s="1">
        <f t="shared" si="0"/>
        <v>0.80000000000001137</v>
      </c>
      <c r="T7" s="1">
        <f t="shared" si="1"/>
        <v>0.80000000000001137</v>
      </c>
      <c r="U7" s="9">
        <f t="shared" si="2"/>
        <v>4.5977011494253523E-3</v>
      </c>
      <c r="W7" s="1">
        <v>3500</v>
      </c>
      <c r="X7" s="1">
        <v>20</v>
      </c>
      <c r="Y7" s="1">
        <v>175</v>
      </c>
      <c r="Z7" s="1"/>
      <c r="AA7" s="1"/>
      <c r="AB7" s="1"/>
      <c r="AC7" s="1"/>
      <c r="AD7" s="1" t="s">
        <v>29</v>
      </c>
      <c r="AE7" s="1"/>
    </row>
    <row r="8" spans="1:31" x14ac:dyDescent="0.3">
      <c r="A8" s="1" t="s">
        <v>34</v>
      </c>
      <c r="B8" s="1" t="s">
        <v>25</v>
      </c>
      <c r="C8" s="1">
        <v>8</v>
      </c>
      <c r="D8" s="1">
        <v>0</v>
      </c>
      <c r="E8" s="1"/>
      <c r="G8" s="1">
        <v>248</v>
      </c>
      <c r="I8" s="6">
        <v>248</v>
      </c>
      <c r="Q8" s="1">
        <v>249.2</v>
      </c>
      <c r="R8" s="1">
        <v>249.2</v>
      </c>
      <c r="S8" s="1">
        <f t="shared" si="0"/>
        <v>1.1999999999999886</v>
      </c>
      <c r="T8" s="1">
        <f t="shared" si="1"/>
        <v>1.1999999999999886</v>
      </c>
      <c r="U8" s="9">
        <f t="shared" si="2"/>
        <v>4.8387096774193091E-3</v>
      </c>
      <c r="W8" s="1">
        <v>5000</v>
      </c>
      <c r="X8" s="1">
        <v>20</v>
      </c>
      <c r="Y8" s="1">
        <v>250</v>
      </c>
      <c r="Z8" s="1"/>
      <c r="AA8" s="1"/>
      <c r="AB8" s="1"/>
      <c r="AC8" s="1"/>
      <c r="AD8" s="1" t="s">
        <v>29</v>
      </c>
      <c r="AE8" s="1"/>
    </row>
    <row r="9" spans="1:31" x14ac:dyDescent="0.3">
      <c r="A9" s="1" t="s">
        <v>35</v>
      </c>
      <c r="B9" s="1" t="s">
        <v>25</v>
      </c>
      <c r="C9" s="1">
        <v>8</v>
      </c>
      <c r="D9" s="1">
        <v>0</v>
      </c>
      <c r="E9" s="1"/>
      <c r="G9" s="1">
        <v>45</v>
      </c>
      <c r="I9" s="6">
        <v>44</v>
      </c>
      <c r="Q9" s="1">
        <v>45.1</v>
      </c>
      <c r="R9" s="1">
        <v>45.1</v>
      </c>
      <c r="S9" s="1">
        <f t="shared" si="0"/>
        <v>0.10000000000000142</v>
      </c>
      <c r="T9" s="1">
        <f t="shared" si="1"/>
        <v>1.1000000000000014</v>
      </c>
      <c r="U9" s="9">
        <f t="shared" si="2"/>
        <v>2.5000000000000033E-2</v>
      </c>
      <c r="W9" s="1">
        <v>871.84</v>
      </c>
      <c r="X9" s="1">
        <v>32</v>
      </c>
      <c r="Y9" s="1">
        <v>25</v>
      </c>
      <c r="Z9" s="1"/>
      <c r="AA9" s="1"/>
      <c r="AB9" s="1"/>
      <c r="AC9" s="1"/>
      <c r="AD9" s="1" t="s">
        <v>36</v>
      </c>
      <c r="AE9" s="1"/>
    </row>
    <row r="10" spans="1:31" x14ac:dyDescent="0.3">
      <c r="A10" s="1" t="s">
        <v>37</v>
      </c>
      <c r="B10" s="1" t="s">
        <v>25</v>
      </c>
      <c r="C10" s="1">
        <v>8</v>
      </c>
      <c r="D10" s="1">
        <v>0</v>
      </c>
      <c r="E10" s="1"/>
      <c r="G10" s="1">
        <v>48</v>
      </c>
      <c r="I10" s="6">
        <v>48</v>
      </c>
      <c r="Q10" s="1">
        <v>48.3</v>
      </c>
      <c r="R10" s="1">
        <v>48.3</v>
      </c>
      <c r="S10" s="1">
        <f t="shared" si="0"/>
        <v>0.29999999999999716</v>
      </c>
      <c r="T10" s="1">
        <f t="shared" si="1"/>
        <v>0.29999999999999716</v>
      </c>
      <c r="U10" s="9">
        <f t="shared" si="2"/>
        <v>6.2499999999999405E-3</v>
      </c>
      <c r="W10" s="1">
        <v>917.63</v>
      </c>
      <c r="X10" s="1">
        <v>64</v>
      </c>
      <c r="Y10" s="1">
        <v>12.5</v>
      </c>
      <c r="Z10" s="1"/>
      <c r="AA10" s="1"/>
      <c r="AB10" s="1"/>
      <c r="AC10" s="1"/>
      <c r="AD10" s="1" t="s">
        <v>36</v>
      </c>
      <c r="AE10" s="1"/>
    </row>
    <row r="11" spans="1:31" x14ac:dyDescent="0.3">
      <c r="A11" s="1" t="s">
        <v>38</v>
      </c>
      <c r="B11" s="1" t="s">
        <v>25</v>
      </c>
      <c r="C11" s="1">
        <v>8</v>
      </c>
      <c r="D11" s="1">
        <v>0</v>
      </c>
      <c r="E11" s="1"/>
      <c r="G11" s="1">
        <v>58</v>
      </c>
      <c r="I11" s="6">
        <v>58</v>
      </c>
      <c r="Q11" s="1">
        <v>58.2</v>
      </c>
      <c r="R11" s="1">
        <v>58.2</v>
      </c>
      <c r="S11" s="1">
        <f t="shared" si="0"/>
        <v>0.20000000000000284</v>
      </c>
      <c r="T11" s="1">
        <f t="shared" si="1"/>
        <v>0.20000000000000284</v>
      </c>
      <c r="U11" s="9">
        <f t="shared" si="2"/>
        <v>3.4482758620690145E-3</v>
      </c>
      <c r="W11" s="1">
        <v>1080.5</v>
      </c>
      <c r="X11" s="1">
        <v>128</v>
      </c>
      <c r="Y11" s="1">
        <v>6.25</v>
      </c>
      <c r="Z11" s="1"/>
      <c r="AA11" s="1"/>
      <c r="AB11" s="1"/>
      <c r="AC11" s="1"/>
      <c r="AD11" s="1" t="s">
        <v>36</v>
      </c>
      <c r="AE11" s="1"/>
    </row>
    <row r="12" spans="1:31" x14ac:dyDescent="0.3">
      <c r="A12" s="1" t="s">
        <v>39</v>
      </c>
      <c r="B12" s="1" t="s">
        <v>25</v>
      </c>
      <c r="C12" s="1">
        <v>8</v>
      </c>
      <c r="D12" s="1">
        <v>0</v>
      </c>
      <c r="E12" s="1"/>
      <c r="G12" s="1">
        <v>86</v>
      </c>
      <c r="I12" s="6">
        <v>86</v>
      </c>
      <c r="Q12" s="1">
        <v>85.8</v>
      </c>
      <c r="R12" s="1">
        <v>85.8</v>
      </c>
      <c r="S12" s="1">
        <f t="shared" si="0"/>
        <v>-0.20000000000000284</v>
      </c>
      <c r="T12" s="1">
        <f t="shared" si="1"/>
        <v>-0.20000000000000284</v>
      </c>
      <c r="U12" s="9">
        <f t="shared" si="2"/>
        <v>-2.3255813953488701E-3</v>
      </c>
      <c r="W12" s="1">
        <v>1565.44</v>
      </c>
      <c r="X12" s="1">
        <v>256</v>
      </c>
      <c r="Y12" s="1">
        <v>3.125</v>
      </c>
      <c r="Z12" s="1"/>
      <c r="AA12" s="1"/>
      <c r="AB12" s="1"/>
      <c r="AC12" s="1"/>
      <c r="AD12" s="1" t="s">
        <v>40</v>
      </c>
      <c r="AE12" s="1"/>
    </row>
    <row r="13" spans="1:31" x14ac:dyDescent="0.3">
      <c r="A13" s="1" t="s">
        <v>41</v>
      </c>
      <c r="B13" s="1" t="s">
        <v>25</v>
      </c>
      <c r="C13" s="1">
        <v>8</v>
      </c>
      <c r="D13" s="1">
        <v>0</v>
      </c>
      <c r="E13" s="1"/>
      <c r="G13" s="1">
        <v>180</v>
      </c>
      <c r="I13" s="6">
        <v>181</v>
      </c>
      <c r="Q13" s="1">
        <v>151</v>
      </c>
      <c r="R13" s="1">
        <v>151</v>
      </c>
      <c r="S13" s="1">
        <f t="shared" si="0"/>
        <v>-29</v>
      </c>
      <c r="T13" s="1">
        <f t="shared" si="1"/>
        <v>-30</v>
      </c>
      <c r="U13" s="9">
        <f t="shared" si="2"/>
        <v>-0.16574585635359115</v>
      </c>
      <c r="W13" s="1">
        <v>2738.09</v>
      </c>
      <c r="X13" s="1">
        <v>512</v>
      </c>
      <c r="Y13" s="1">
        <v>1.5620000000000001</v>
      </c>
      <c r="Z13" s="1"/>
      <c r="AA13" s="1"/>
      <c r="AB13" s="1"/>
      <c r="AC13" s="1"/>
      <c r="AD13" s="1" t="s">
        <v>36</v>
      </c>
      <c r="AE13" s="1"/>
    </row>
    <row r="14" spans="1:31" x14ac:dyDescent="0.3">
      <c r="A14" s="1" t="s">
        <v>42</v>
      </c>
      <c r="B14" s="1" t="s">
        <v>25</v>
      </c>
      <c r="C14" s="1">
        <v>8</v>
      </c>
      <c r="D14" s="1">
        <v>0</v>
      </c>
      <c r="E14" s="1"/>
      <c r="G14" s="1">
        <v>288</v>
      </c>
      <c r="I14" s="6">
        <v>289</v>
      </c>
      <c r="Q14" s="1">
        <v>289.5</v>
      </c>
      <c r="R14" s="1">
        <v>289.5</v>
      </c>
      <c r="S14" s="1">
        <f t="shared" si="0"/>
        <v>1.5</v>
      </c>
      <c r="T14" s="1">
        <f t="shared" si="1"/>
        <v>0.5</v>
      </c>
      <c r="U14" s="9">
        <f t="shared" si="2"/>
        <v>1.7301038062283738E-3</v>
      </c>
      <c r="W14" s="1">
        <v>5238.12</v>
      </c>
      <c r="X14" s="1">
        <v>1024</v>
      </c>
      <c r="Y14" s="1">
        <v>0.78100000000000003</v>
      </c>
      <c r="Z14" s="1"/>
      <c r="AA14" s="1"/>
      <c r="AB14" s="1"/>
      <c r="AC14" s="1"/>
      <c r="AD14" s="1" t="s">
        <v>36</v>
      </c>
      <c r="AE14" s="1"/>
    </row>
    <row r="15" spans="1:31" x14ac:dyDescent="0.3">
      <c r="A15" s="1" t="s">
        <v>43</v>
      </c>
      <c r="B15" s="1" t="s">
        <v>25</v>
      </c>
      <c r="C15" s="1">
        <v>8</v>
      </c>
      <c r="D15" s="1">
        <v>0</v>
      </c>
      <c r="E15" s="1"/>
      <c r="G15" s="1">
        <v>169</v>
      </c>
      <c r="I15" s="6">
        <v>145</v>
      </c>
      <c r="Q15" s="1">
        <v>145.30000000000001</v>
      </c>
      <c r="R15" s="1">
        <v>145.30000000000001</v>
      </c>
      <c r="S15" s="1">
        <f t="shared" si="0"/>
        <v>-23.699999999999989</v>
      </c>
      <c r="T15" s="1">
        <f t="shared" si="1"/>
        <v>0.30000000000001137</v>
      </c>
      <c r="U15" s="9">
        <f t="shared" si="2"/>
        <v>2.0689655172414579E-3</v>
      </c>
      <c r="W15" s="1">
        <v>2893.9</v>
      </c>
      <c r="X15" s="1">
        <v>12</v>
      </c>
      <c r="Y15" s="1"/>
      <c r="Z15" s="1"/>
      <c r="AA15" s="1"/>
      <c r="AB15" s="1"/>
      <c r="AC15" s="1"/>
      <c r="AD15" s="1" t="s">
        <v>44</v>
      </c>
      <c r="AE15" s="1"/>
    </row>
    <row r="16" spans="1:31" x14ac:dyDescent="0.3">
      <c r="A16" s="1" t="s">
        <v>45</v>
      </c>
      <c r="B16" s="1" t="s">
        <v>25</v>
      </c>
      <c r="C16" s="1">
        <v>8</v>
      </c>
      <c r="D16" s="1">
        <v>0</v>
      </c>
      <c r="E16" s="1"/>
      <c r="G16" s="1">
        <v>146</v>
      </c>
      <c r="I16" s="6">
        <v>145</v>
      </c>
      <c r="Q16" s="1">
        <v>147.19999999999999</v>
      </c>
      <c r="R16" s="1">
        <v>147.19999999999999</v>
      </c>
      <c r="S16" s="1">
        <f t="shared" si="0"/>
        <v>1.1999999999999886</v>
      </c>
      <c r="T16" s="1">
        <f t="shared" si="1"/>
        <v>2.1999999999999886</v>
      </c>
      <c r="U16" s="9">
        <f t="shared" si="2"/>
        <v>1.517241379310337E-2</v>
      </c>
      <c r="W16" s="1">
        <v>2861.9</v>
      </c>
      <c r="X16" s="1">
        <v>144</v>
      </c>
      <c r="Y16" s="1"/>
      <c r="Z16" s="1"/>
      <c r="AA16" s="1"/>
      <c r="AB16" s="1"/>
      <c r="AC16" s="1"/>
      <c r="AD16" s="1" t="s">
        <v>46</v>
      </c>
      <c r="AE16" s="1"/>
    </row>
    <row r="17" spans="1:31" x14ac:dyDescent="0.3">
      <c r="A17" s="1" t="s">
        <v>47</v>
      </c>
      <c r="B17" s="1" t="s">
        <v>25</v>
      </c>
      <c r="C17" s="1">
        <v>8</v>
      </c>
      <c r="D17" s="1">
        <v>0</v>
      </c>
      <c r="E17" s="1"/>
      <c r="G17" s="1">
        <v>160</v>
      </c>
      <c r="I17" s="1">
        <v>144</v>
      </c>
      <c r="Q17" s="1">
        <v>145</v>
      </c>
      <c r="R17" s="1">
        <v>145</v>
      </c>
      <c r="S17" s="1">
        <f t="shared" si="0"/>
        <v>-15</v>
      </c>
      <c r="T17" s="1">
        <f t="shared" si="1"/>
        <v>1</v>
      </c>
      <c r="U17" s="9">
        <f t="shared" si="2"/>
        <v>6.9444444444444441E-3</v>
      </c>
      <c r="W17" s="1">
        <v>2892.76</v>
      </c>
      <c r="X17" s="1">
        <v>576</v>
      </c>
      <c r="Y17" s="1"/>
      <c r="Z17" s="1"/>
      <c r="AA17" s="1"/>
      <c r="AB17" s="1"/>
      <c r="AC17" s="1"/>
      <c r="AD17" s="1" t="s">
        <v>46</v>
      </c>
      <c r="AE17" s="1"/>
    </row>
    <row r="18" spans="1:31" x14ac:dyDescent="0.3">
      <c r="A18" s="1" t="s">
        <v>48</v>
      </c>
      <c r="B18" s="1" t="s">
        <v>25</v>
      </c>
      <c r="C18" s="1">
        <v>8</v>
      </c>
      <c r="D18" s="1">
        <v>0</v>
      </c>
      <c r="E18" s="1"/>
      <c r="G18" s="1">
        <v>11</v>
      </c>
      <c r="I18" s="1">
        <v>11</v>
      </c>
      <c r="Q18" s="1">
        <v>11.4</v>
      </c>
      <c r="R18" s="1">
        <v>11.4</v>
      </c>
      <c r="S18" s="1">
        <f t="shared" si="0"/>
        <v>0.40000000000000036</v>
      </c>
      <c r="T18" s="1">
        <f t="shared" si="1"/>
        <v>0.40000000000000036</v>
      </c>
      <c r="U18" s="9">
        <f t="shared" si="2"/>
        <v>3.6363636363636397E-2</v>
      </c>
      <c r="W18" s="1">
        <v>80</v>
      </c>
      <c r="X18" s="1">
        <v>40</v>
      </c>
      <c r="Y18" s="1">
        <v>2</v>
      </c>
      <c r="Z18" s="1"/>
      <c r="AA18" s="1"/>
      <c r="AB18" s="1"/>
      <c r="AC18" s="1"/>
      <c r="AD18" s="1" t="s">
        <v>49</v>
      </c>
      <c r="AE18" s="1"/>
    </row>
    <row r="19" spans="1:31" x14ac:dyDescent="0.3">
      <c r="A19" s="1" t="s">
        <v>50</v>
      </c>
      <c r="B19" s="1" t="s">
        <v>25</v>
      </c>
      <c r="C19" s="1">
        <v>8</v>
      </c>
      <c r="D19" s="1">
        <v>0</v>
      </c>
      <c r="E19" s="1"/>
      <c r="G19" s="1">
        <v>17</v>
      </c>
      <c r="I19" s="1">
        <v>17</v>
      </c>
      <c r="Q19" s="1">
        <v>17.3</v>
      </c>
      <c r="R19" s="1">
        <v>17.3</v>
      </c>
      <c r="S19" s="1">
        <f t="shared" si="0"/>
        <v>0.30000000000000071</v>
      </c>
      <c r="T19" s="1">
        <f t="shared" si="1"/>
        <v>0.30000000000000071</v>
      </c>
      <c r="U19" s="9">
        <f t="shared" si="2"/>
        <v>1.7647058823529453E-2</v>
      </c>
      <c r="W19" s="1">
        <v>200</v>
      </c>
      <c r="X19" s="1">
        <v>40</v>
      </c>
      <c r="Y19" s="1">
        <v>5</v>
      </c>
      <c r="Z19" s="1"/>
      <c r="AA19" s="1"/>
      <c r="AB19" s="1"/>
      <c r="AC19" s="1"/>
      <c r="AD19" s="1" t="s">
        <v>49</v>
      </c>
      <c r="AE19" s="1"/>
    </row>
    <row r="20" spans="1:31" x14ac:dyDescent="0.3">
      <c r="A20" s="1" t="s">
        <v>51</v>
      </c>
      <c r="B20" s="1" t="s">
        <v>25</v>
      </c>
      <c r="C20" s="1">
        <v>8</v>
      </c>
      <c r="D20" s="1">
        <v>0</v>
      </c>
      <c r="E20" s="1"/>
      <c r="G20" s="1">
        <v>28</v>
      </c>
      <c r="I20" s="1">
        <v>28</v>
      </c>
      <c r="Q20" s="1">
        <v>27.2</v>
      </c>
      <c r="R20" s="1">
        <v>27.2</v>
      </c>
      <c r="S20" s="1">
        <f t="shared" si="0"/>
        <v>-0.80000000000000071</v>
      </c>
      <c r="T20" s="1">
        <f t="shared" si="1"/>
        <v>-0.80000000000000071</v>
      </c>
      <c r="U20" s="9">
        <f t="shared" si="2"/>
        <v>-2.8571428571428598E-2</v>
      </c>
      <c r="W20" s="1">
        <v>400</v>
      </c>
      <c r="X20" s="1">
        <v>40</v>
      </c>
      <c r="Y20" s="1">
        <v>10</v>
      </c>
      <c r="Z20" s="1"/>
      <c r="AA20" s="1"/>
      <c r="AB20" s="1"/>
      <c r="AC20" s="1"/>
      <c r="AD20" s="1" t="s">
        <v>49</v>
      </c>
      <c r="AE20" s="1"/>
    </row>
    <row r="21" spans="1:31" x14ac:dyDescent="0.3">
      <c r="A21" s="1" t="s">
        <v>52</v>
      </c>
      <c r="B21" s="1">
        <v>600</v>
      </c>
      <c r="C21" s="1">
        <v>20</v>
      </c>
      <c r="D21" s="1">
        <v>0</v>
      </c>
      <c r="E21" s="1"/>
      <c r="G21" s="1">
        <v>57</v>
      </c>
      <c r="I21" s="1">
        <v>57</v>
      </c>
      <c r="Q21" s="1">
        <v>56.8</v>
      </c>
      <c r="R21" s="1">
        <v>56.8</v>
      </c>
      <c r="S21" s="1">
        <f t="shared" si="0"/>
        <v>-0.20000000000000284</v>
      </c>
      <c r="T21" s="1">
        <f t="shared" si="1"/>
        <v>-0.20000000000000284</v>
      </c>
      <c r="U21" s="9">
        <f t="shared" si="2"/>
        <v>-3.5087719298246113E-3</v>
      </c>
      <c r="W21" s="1"/>
      <c r="X21" s="1"/>
      <c r="Y21" s="1"/>
      <c r="Z21" s="1">
        <v>500</v>
      </c>
      <c r="AA21" s="1">
        <v>50</v>
      </c>
      <c r="AB21" s="1">
        <v>10</v>
      </c>
      <c r="AC21" s="1">
        <v>236</v>
      </c>
      <c r="AD21" s="1" t="s">
        <v>53</v>
      </c>
      <c r="AE21" s="1"/>
    </row>
    <row r="22" spans="1:31" x14ac:dyDescent="0.3">
      <c r="A22" s="1" t="s">
        <v>54</v>
      </c>
      <c r="B22" s="1">
        <v>600</v>
      </c>
      <c r="C22" s="1">
        <v>20</v>
      </c>
      <c r="D22" s="1">
        <v>0</v>
      </c>
      <c r="E22" s="1"/>
      <c r="G22" s="1">
        <v>112</v>
      </c>
      <c r="I22" s="1">
        <v>112</v>
      </c>
      <c r="Q22" s="1">
        <v>112.7</v>
      </c>
      <c r="R22" s="1">
        <v>112.7</v>
      </c>
      <c r="S22" s="1">
        <f t="shared" si="0"/>
        <v>0.70000000000000284</v>
      </c>
      <c r="T22" s="1">
        <f t="shared" si="1"/>
        <v>0.70000000000000284</v>
      </c>
      <c r="U22" s="9">
        <f t="shared" si="2"/>
        <v>6.2500000000000255E-3</v>
      </c>
      <c r="W22" s="1"/>
      <c r="X22" s="1"/>
      <c r="Y22" s="1"/>
      <c r="Z22" s="1">
        <v>1000</v>
      </c>
      <c r="AA22" s="1">
        <v>50</v>
      </c>
      <c r="AB22" s="1">
        <v>20</v>
      </c>
      <c r="AC22" s="1">
        <v>472</v>
      </c>
      <c r="AD22" s="1" t="s">
        <v>53</v>
      </c>
      <c r="AE22" s="1"/>
    </row>
    <row r="23" spans="1:31" x14ac:dyDescent="0.3">
      <c r="A23" s="1" t="s">
        <v>55</v>
      </c>
      <c r="B23" s="1">
        <v>600</v>
      </c>
      <c r="C23" s="1">
        <v>20</v>
      </c>
      <c r="D23" s="1">
        <v>0</v>
      </c>
      <c r="E23" s="1"/>
      <c r="G23" s="1">
        <v>224</v>
      </c>
      <c r="I23" s="1">
        <v>224</v>
      </c>
      <c r="Q23" s="1">
        <v>224.3</v>
      </c>
      <c r="R23" s="1">
        <v>224.3</v>
      </c>
      <c r="S23" s="1">
        <f t="shared" si="0"/>
        <v>0.30000000000001137</v>
      </c>
      <c r="T23" s="1">
        <f t="shared" si="1"/>
        <v>0.30000000000001137</v>
      </c>
      <c r="U23" s="9">
        <f t="shared" si="2"/>
        <v>1.339285714285765E-3</v>
      </c>
      <c r="W23" s="1"/>
      <c r="X23" s="1"/>
      <c r="Y23" s="1"/>
      <c r="Z23" s="1">
        <v>2000</v>
      </c>
      <c r="AA23" s="1">
        <v>50</v>
      </c>
      <c r="AB23" s="1">
        <v>40</v>
      </c>
      <c r="AC23" s="1">
        <v>945</v>
      </c>
      <c r="AD23" s="1" t="s">
        <v>53</v>
      </c>
      <c r="AE23" s="1"/>
    </row>
    <row r="24" spans="1:31" x14ac:dyDescent="0.3">
      <c r="A24" s="1" t="s">
        <v>56</v>
      </c>
      <c r="B24" s="1">
        <v>600</v>
      </c>
      <c r="C24" s="1">
        <v>20</v>
      </c>
      <c r="D24" s="1">
        <v>0</v>
      </c>
      <c r="E24" s="1"/>
      <c r="G24" s="1">
        <v>447</v>
      </c>
      <c r="I24">
        <v>447</v>
      </c>
      <c r="Q24" s="1">
        <v>447.8</v>
      </c>
      <c r="R24" s="1">
        <v>447.8</v>
      </c>
      <c r="S24" s="1">
        <f t="shared" si="0"/>
        <v>0.80000000000001137</v>
      </c>
      <c r="T24" s="1">
        <f t="shared" si="1"/>
        <v>0.80000000000001137</v>
      </c>
      <c r="U24" s="9">
        <f t="shared" si="2"/>
        <v>1.7897091722595332E-3</v>
      </c>
      <c r="W24" s="1"/>
      <c r="X24" s="1"/>
      <c r="Y24" s="1"/>
      <c r="Z24" s="1">
        <v>4000</v>
      </c>
      <c r="AA24" s="1">
        <v>50</v>
      </c>
      <c r="AB24" s="1">
        <v>80</v>
      </c>
      <c r="AC24" s="1">
        <v>1890</v>
      </c>
      <c r="AD24" s="1" t="s">
        <v>53</v>
      </c>
      <c r="AE24" s="1"/>
    </row>
    <row r="25" spans="1:31" x14ac:dyDescent="0.3">
      <c r="A25" s="1" t="s">
        <v>57</v>
      </c>
      <c r="B25" s="1">
        <v>600</v>
      </c>
      <c r="C25" s="1">
        <v>20</v>
      </c>
      <c r="D25" s="1">
        <v>0</v>
      </c>
      <c r="E25" s="1"/>
      <c r="G25" s="1">
        <v>893</v>
      </c>
      <c r="I25">
        <v>893</v>
      </c>
      <c r="Q25" s="1">
        <v>894.9</v>
      </c>
      <c r="R25" s="1">
        <v>894.9</v>
      </c>
      <c r="S25" s="1">
        <f t="shared" si="0"/>
        <v>1.8999999999999773</v>
      </c>
      <c r="T25" s="1">
        <f t="shared" si="1"/>
        <v>1.8999999999999773</v>
      </c>
      <c r="U25" s="9">
        <f t="shared" si="2"/>
        <v>2.1276595744680596E-3</v>
      </c>
      <c r="W25" s="1"/>
      <c r="X25" s="1"/>
      <c r="Y25" s="1"/>
      <c r="Z25" s="1">
        <v>8000</v>
      </c>
      <c r="AA25" s="1">
        <v>50</v>
      </c>
      <c r="AB25" s="1">
        <v>160</v>
      </c>
      <c r="AC25" s="1">
        <v>3780</v>
      </c>
      <c r="AD25" s="1" t="s">
        <v>53</v>
      </c>
      <c r="AE25" s="1"/>
    </row>
    <row r="26" spans="1:31" x14ac:dyDescent="0.3">
      <c r="A26" s="1" t="s">
        <v>58</v>
      </c>
      <c r="B26" s="1">
        <v>600</v>
      </c>
      <c r="C26" s="1">
        <v>20</v>
      </c>
      <c r="D26" s="1">
        <v>0</v>
      </c>
      <c r="E26" s="1"/>
      <c r="G26" s="1">
        <v>118</v>
      </c>
      <c r="I26" s="1">
        <v>118</v>
      </c>
      <c r="Q26" s="1">
        <v>118.4</v>
      </c>
      <c r="R26" s="1">
        <v>118.4</v>
      </c>
      <c r="S26" s="1">
        <f t="shared" si="0"/>
        <v>0.40000000000000568</v>
      </c>
      <c r="T26" s="1">
        <f t="shared" si="1"/>
        <v>0.40000000000000568</v>
      </c>
      <c r="U26" s="9">
        <f t="shared" si="2"/>
        <v>3.3898305084746243E-3</v>
      </c>
      <c r="W26" s="1"/>
      <c r="X26" s="1"/>
      <c r="Y26" s="1"/>
      <c r="Z26" s="1">
        <v>400</v>
      </c>
      <c r="AA26" s="1">
        <v>10</v>
      </c>
      <c r="AB26" s="1">
        <v>40</v>
      </c>
      <c r="AC26" s="1">
        <v>945</v>
      </c>
      <c r="AD26" s="1" t="s">
        <v>59</v>
      </c>
      <c r="AE26" s="1"/>
    </row>
    <row r="27" spans="1:31" x14ac:dyDescent="0.3">
      <c r="A27" s="1" t="s">
        <v>60</v>
      </c>
      <c r="B27" s="1">
        <v>600</v>
      </c>
      <c r="C27" s="1">
        <v>20</v>
      </c>
      <c r="D27" s="1">
        <v>0</v>
      </c>
      <c r="E27" s="1"/>
      <c r="G27" s="1">
        <v>158</v>
      </c>
      <c r="I27">
        <v>158</v>
      </c>
      <c r="Q27" s="1">
        <v>158.1</v>
      </c>
      <c r="R27" s="1">
        <v>158.1</v>
      </c>
      <c r="S27" s="1">
        <f t="shared" si="0"/>
        <v>9.9999999999994316E-2</v>
      </c>
      <c r="T27" s="1">
        <f t="shared" si="1"/>
        <v>9.9999999999994316E-2</v>
      </c>
      <c r="U27" s="9">
        <f t="shared" si="2"/>
        <v>6.3291139240502731E-4</v>
      </c>
      <c r="W27" s="1"/>
      <c r="X27" s="1"/>
      <c r="Y27" s="1"/>
      <c r="Z27" s="1">
        <v>1000</v>
      </c>
      <c r="AA27" s="1">
        <v>25</v>
      </c>
      <c r="AB27" s="1">
        <v>40</v>
      </c>
      <c r="AC27" s="1">
        <v>945</v>
      </c>
      <c r="AD27" s="1" t="s">
        <v>59</v>
      </c>
      <c r="AE27" s="1"/>
    </row>
    <row r="28" spans="1:31" x14ac:dyDescent="0.3">
      <c r="A28" s="1" t="s">
        <v>61</v>
      </c>
      <c r="B28" s="1">
        <v>600</v>
      </c>
      <c r="C28" s="1">
        <v>20</v>
      </c>
      <c r="D28" s="1">
        <v>0</v>
      </c>
      <c r="E28" s="1"/>
      <c r="G28" s="1">
        <v>291</v>
      </c>
      <c r="I28">
        <v>291</v>
      </c>
      <c r="Q28" s="1">
        <v>290.5</v>
      </c>
      <c r="R28" s="1">
        <v>290.5</v>
      </c>
      <c r="S28" s="1">
        <f t="shared" si="0"/>
        <v>-0.5</v>
      </c>
      <c r="T28" s="1">
        <f t="shared" si="1"/>
        <v>-0.5</v>
      </c>
      <c r="U28" s="9">
        <f t="shared" si="2"/>
        <v>-1.718213058419244E-3</v>
      </c>
      <c r="W28" s="1"/>
      <c r="X28" s="1"/>
      <c r="Y28" s="1"/>
      <c r="Z28" s="1">
        <v>3000</v>
      </c>
      <c r="AA28" s="1">
        <v>75</v>
      </c>
      <c r="AB28" s="1">
        <v>40</v>
      </c>
      <c r="AC28" s="1">
        <v>945</v>
      </c>
      <c r="AD28" s="1" t="s">
        <v>59</v>
      </c>
      <c r="AE28" s="1"/>
    </row>
    <row r="29" spans="1:31" x14ac:dyDescent="0.3">
      <c r="A29" s="1" t="s">
        <v>62</v>
      </c>
      <c r="B29" s="1">
        <v>600</v>
      </c>
      <c r="C29" s="1">
        <v>20</v>
      </c>
      <c r="D29" s="1">
        <v>0</v>
      </c>
      <c r="E29" s="1"/>
      <c r="G29" s="1">
        <v>357</v>
      </c>
      <c r="I29">
        <v>357</v>
      </c>
      <c r="Q29" s="1">
        <v>356.7</v>
      </c>
      <c r="R29" s="1">
        <v>356.7</v>
      </c>
      <c r="S29" s="1">
        <f t="shared" si="0"/>
        <v>-0.30000000000001137</v>
      </c>
      <c r="T29" s="1">
        <f t="shared" si="1"/>
        <v>-0.30000000000001137</v>
      </c>
      <c r="U29" s="9">
        <f t="shared" si="2"/>
        <v>-8.4033613445381333E-4</v>
      </c>
      <c r="W29" s="1"/>
      <c r="X29" s="1"/>
      <c r="Y29" s="1"/>
      <c r="Z29" s="1">
        <v>4000</v>
      </c>
      <c r="AA29" s="1">
        <v>100</v>
      </c>
      <c r="AB29" s="1">
        <v>40</v>
      </c>
      <c r="AC29" s="1">
        <v>945</v>
      </c>
      <c r="AD29" s="1" t="s">
        <v>59</v>
      </c>
      <c r="AE29" s="1"/>
    </row>
    <row r="30" spans="1:31" x14ac:dyDescent="0.3">
      <c r="A30" s="1" t="s">
        <v>63</v>
      </c>
      <c r="B30" s="1">
        <v>600</v>
      </c>
      <c r="C30" s="1">
        <v>20</v>
      </c>
      <c r="D30" s="1">
        <v>0</v>
      </c>
      <c r="E30" s="1"/>
      <c r="G30" s="1">
        <v>490</v>
      </c>
      <c r="I30" s="1">
        <v>490</v>
      </c>
      <c r="Q30" s="1">
        <v>489</v>
      </c>
      <c r="R30" s="1">
        <v>489</v>
      </c>
      <c r="S30" s="1">
        <f t="shared" si="0"/>
        <v>-1</v>
      </c>
      <c r="T30" s="1">
        <f t="shared" si="1"/>
        <v>-1</v>
      </c>
      <c r="U30" s="9">
        <f t="shared" si="2"/>
        <v>-2.0408163265306124E-3</v>
      </c>
      <c r="W30" s="1"/>
      <c r="X30" s="1"/>
      <c r="Y30" s="1"/>
      <c r="Z30" s="1">
        <v>6000</v>
      </c>
      <c r="AA30" s="1">
        <v>150</v>
      </c>
      <c r="AB30" s="1">
        <v>40</v>
      </c>
      <c r="AC30" s="1">
        <v>945</v>
      </c>
      <c r="AD30" s="1" t="s">
        <v>59</v>
      </c>
      <c r="AE30" s="1"/>
    </row>
    <row r="31" spans="1:31" x14ac:dyDescent="0.3">
      <c r="A31" s="1" t="s">
        <v>64</v>
      </c>
      <c r="B31" s="1">
        <v>600</v>
      </c>
      <c r="C31" s="1">
        <v>20</v>
      </c>
      <c r="D31" s="1">
        <v>0</v>
      </c>
      <c r="E31" s="1"/>
      <c r="G31" s="1">
        <v>889</v>
      </c>
      <c r="I31">
        <v>889</v>
      </c>
      <c r="Q31" s="1">
        <v>890.7</v>
      </c>
      <c r="R31" s="1">
        <v>890.7</v>
      </c>
      <c r="S31" s="1">
        <f t="shared" si="0"/>
        <v>1.7000000000000455</v>
      </c>
      <c r="T31" s="1">
        <f t="shared" si="1"/>
        <v>1.7000000000000455</v>
      </c>
      <c r="U31" s="9">
        <f t="shared" si="2"/>
        <v>1.9122609673791287E-3</v>
      </c>
      <c r="W31" s="1"/>
      <c r="X31" s="1"/>
      <c r="Y31" s="1"/>
      <c r="Z31" s="1">
        <v>1900</v>
      </c>
      <c r="AA31" s="1">
        <v>100</v>
      </c>
      <c r="AB31" s="1">
        <v>100</v>
      </c>
      <c r="AC31" s="1"/>
      <c r="AD31" s="1" t="s">
        <v>65</v>
      </c>
      <c r="AE31" s="1" t="s">
        <v>66</v>
      </c>
    </row>
    <row r="32" spans="1:31" x14ac:dyDescent="0.3">
      <c r="A32" s="1" t="s">
        <v>67</v>
      </c>
      <c r="B32" s="1">
        <v>600</v>
      </c>
      <c r="C32" s="1">
        <v>20</v>
      </c>
      <c r="D32" s="1">
        <v>0</v>
      </c>
      <c r="E32" s="1"/>
      <c r="G32" s="1">
        <v>534</v>
      </c>
      <c r="I32" s="1">
        <v>534</v>
      </c>
      <c r="Q32" s="1">
        <v>534.79999999999995</v>
      </c>
      <c r="R32" s="1">
        <v>534.79999999999995</v>
      </c>
      <c r="S32" s="1">
        <f t="shared" si="0"/>
        <v>0.79999999999995453</v>
      </c>
      <c r="T32" s="1">
        <f t="shared" si="1"/>
        <v>0.79999999999995453</v>
      </c>
      <c r="U32" s="9">
        <f t="shared" si="2"/>
        <v>1.4981273408238849E-3</v>
      </c>
      <c r="W32" s="1"/>
      <c r="X32" s="1"/>
      <c r="Y32" s="1"/>
      <c r="Z32" s="1">
        <v>1200</v>
      </c>
      <c r="AA32" s="1">
        <v>100</v>
      </c>
      <c r="AB32" s="1">
        <v>60</v>
      </c>
      <c r="AC32" s="1"/>
      <c r="AD32" s="1" t="s">
        <v>68</v>
      </c>
      <c r="AE32" s="1" t="s">
        <v>69</v>
      </c>
    </row>
    <row r="33" spans="1:31" x14ac:dyDescent="0.3">
      <c r="A33" s="1" t="s">
        <v>70</v>
      </c>
      <c r="B33" s="1">
        <v>600</v>
      </c>
      <c r="C33" s="1">
        <v>20</v>
      </c>
      <c r="D33" s="1">
        <v>0</v>
      </c>
      <c r="E33" s="1"/>
      <c r="G33" s="1">
        <v>559</v>
      </c>
      <c r="I33">
        <v>559</v>
      </c>
      <c r="Q33" s="1">
        <v>559.79999999999995</v>
      </c>
      <c r="R33" s="1">
        <v>559.79999999999995</v>
      </c>
      <c r="S33" s="1">
        <f t="shared" si="0"/>
        <v>0.79999999999995453</v>
      </c>
      <c r="T33" s="1">
        <f t="shared" si="1"/>
        <v>0.79999999999995453</v>
      </c>
      <c r="U33" s="9">
        <f t="shared" si="2"/>
        <v>1.43112701252228E-3</v>
      </c>
      <c r="W33" s="1"/>
      <c r="X33" s="1"/>
      <c r="Y33" s="1"/>
      <c r="Z33" s="1">
        <v>5000</v>
      </c>
      <c r="AA33" s="1">
        <v>100</v>
      </c>
      <c r="AB33" s="1">
        <v>100</v>
      </c>
      <c r="AC33" s="1"/>
      <c r="AD33" s="1" t="s">
        <v>71</v>
      </c>
      <c r="AE33" s="1" t="s">
        <v>72</v>
      </c>
    </row>
    <row r="34" spans="1:31" x14ac:dyDescent="0.3">
      <c r="A34" s="1" t="s">
        <v>73</v>
      </c>
      <c r="B34" s="1">
        <v>600</v>
      </c>
      <c r="C34" s="1">
        <v>20</v>
      </c>
      <c r="D34" s="1">
        <v>0</v>
      </c>
      <c r="E34" s="1"/>
      <c r="G34" s="1">
        <v>606</v>
      </c>
      <c r="I34" s="1">
        <v>606</v>
      </c>
      <c r="Q34" s="1">
        <v>606.70000000000005</v>
      </c>
      <c r="R34" s="1">
        <v>606.70000000000005</v>
      </c>
      <c r="S34" s="1">
        <f t="shared" si="0"/>
        <v>0.70000000000004547</v>
      </c>
      <c r="T34" s="1">
        <f t="shared" si="1"/>
        <v>0.70000000000004547</v>
      </c>
      <c r="U34" s="9">
        <f t="shared" si="2"/>
        <v>1.1551155115512302E-3</v>
      </c>
      <c r="W34" s="1"/>
      <c r="X34" s="1"/>
      <c r="Y34" s="1"/>
      <c r="Z34" s="1">
        <v>6400</v>
      </c>
      <c r="AA34" s="1">
        <v>80</v>
      </c>
      <c r="AB34" s="1">
        <v>80</v>
      </c>
      <c r="AC34" s="1">
        <v>1890</v>
      </c>
      <c r="AD34" s="1" t="s">
        <v>74</v>
      </c>
      <c r="AE34" s="1"/>
    </row>
    <row r="35" spans="1:31" x14ac:dyDescent="0.3">
      <c r="A35" s="1" t="s">
        <v>75</v>
      </c>
      <c r="B35" s="1">
        <v>600</v>
      </c>
      <c r="C35" s="12" t="s">
        <v>145</v>
      </c>
      <c r="D35" s="1">
        <v>0</v>
      </c>
      <c r="E35" s="1"/>
      <c r="G35" s="1">
        <v>126</v>
      </c>
      <c r="I35">
        <v>126</v>
      </c>
      <c r="Q35" s="1">
        <v>127.1</v>
      </c>
      <c r="R35" s="1">
        <v>126.9</v>
      </c>
      <c r="S35" s="1">
        <f t="shared" si="0"/>
        <v>1.0999999999999943</v>
      </c>
      <c r="T35" s="1">
        <f t="shared" si="1"/>
        <v>0.90000000000000568</v>
      </c>
      <c r="U35" s="9">
        <f t="shared" si="2"/>
        <v>7.1428571428571877E-3</v>
      </c>
      <c r="W35" s="1"/>
      <c r="X35" s="1"/>
      <c r="Y35" s="1"/>
      <c r="Z35" s="1"/>
      <c r="AA35" s="1"/>
      <c r="AB35" s="1"/>
      <c r="AC35" s="1"/>
      <c r="AD35" s="1" t="s">
        <v>76</v>
      </c>
      <c r="AE35" s="1" t="s">
        <v>77</v>
      </c>
    </row>
    <row r="36" spans="1:31" x14ac:dyDescent="0.3">
      <c r="A36" s="1" t="s">
        <v>78</v>
      </c>
      <c r="B36" s="1">
        <v>600</v>
      </c>
      <c r="C36" s="12" t="s">
        <v>145</v>
      </c>
      <c r="D36" s="1">
        <v>0</v>
      </c>
      <c r="E36" s="1"/>
      <c r="G36" s="1">
        <v>121</v>
      </c>
      <c r="I36" s="1">
        <v>121</v>
      </c>
      <c r="Q36" s="1">
        <v>122.2</v>
      </c>
      <c r="R36" s="1">
        <v>122.2</v>
      </c>
      <c r="S36" s="1">
        <f t="shared" si="0"/>
        <v>1.2000000000000028</v>
      </c>
      <c r="T36" s="1">
        <f t="shared" si="1"/>
        <v>1.2000000000000028</v>
      </c>
      <c r="U36" s="9">
        <f t="shared" si="2"/>
        <v>9.9173553719008496E-3</v>
      </c>
      <c r="W36" s="1"/>
      <c r="X36" s="1"/>
      <c r="Y36" s="1"/>
      <c r="Z36" s="1"/>
      <c r="AA36" s="1"/>
      <c r="AB36" s="1"/>
      <c r="AC36" s="1"/>
      <c r="AD36" s="1" t="s">
        <v>76</v>
      </c>
      <c r="AE36" s="1" t="s">
        <v>77</v>
      </c>
    </row>
    <row r="37" spans="1:31" x14ac:dyDescent="0.3">
      <c r="A37" s="1" t="s">
        <v>31</v>
      </c>
      <c r="B37" s="1" t="s">
        <v>25</v>
      </c>
      <c r="C37" s="1">
        <v>15</v>
      </c>
      <c r="D37" s="1">
        <v>0</v>
      </c>
      <c r="E37" s="1"/>
      <c r="G37" s="1">
        <v>54</v>
      </c>
      <c r="I37" s="1">
        <v>54</v>
      </c>
      <c r="Q37" s="1">
        <v>54.2</v>
      </c>
      <c r="R37" s="1">
        <v>54.2</v>
      </c>
      <c r="S37" s="1">
        <f t="shared" si="0"/>
        <v>0.20000000000000284</v>
      </c>
      <c r="T37" s="1">
        <f t="shared" si="1"/>
        <v>0.20000000000000284</v>
      </c>
      <c r="U37" s="9">
        <f t="shared" si="2"/>
        <v>3.7037037037037563E-3</v>
      </c>
      <c r="W37" s="1">
        <v>2000</v>
      </c>
      <c r="X37" s="1">
        <v>20</v>
      </c>
      <c r="Y37" s="1">
        <v>100</v>
      </c>
      <c r="Z37" s="1"/>
      <c r="AA37" s="1"/>
      <c r="AB37" s="1"/>
      <c r="AC37" s="1"/>
      <c r="AD37" s="1" t="s">
        <v>79</v>
      </c>
      <c r="AE37" s="1"/>
    </row>
    <row r="38" spans="1:31" x14ac:dyDescent="0.3">
      <c r="A38" s="1" t="s">
        <v>31</v>
      </c>
      <c r="B38" s="1" t="s">
        <v>25</v>
      </c>
      <c r="C38" s="1">
        <v>30</v>
      </c>
      <c r="D38" s="1">
        <v>0</v>
      </c>
      <c r="E38" s="1"/>
      <c r="G38" s="1">
        <v>28</v>
      </c>
      <c r="I38" s="1">
        <v>28</v>
      </c>
      <c r="Q38" s="1">
        <v>28.1</v>
      </c>
      <c r="R38" s="1">
        <v>28.1</v>
      </c>
      <c r="S38" s="1">
        <f t="shared" si="0"/>
        <v>0.10000000000000142</v>
      </c>
      <c r="T38" s="1">
        <f t="shared" si="1"/>
        <v>0.10000000000000142</v>
      </c>
      <c r="U38" s="9">
        <f t="shared" si="2"/>
        <v>3.5714285714286221E-3</v>
      </c>
      <c r="W38" s="1">
        <v>2000</v>
      </c>
      <c r="X38" s="1">
        <v>20</v>
      </c>
      <c r="Y38" s="1">
        <v>100</v>
      </c>
      <c r="Z38" s="1"/>
      <c r="AA38" s="1"/>
      <c r="AB38" s="1"/>
      <c r="AC38" s="1"/>
      <c r="AD38" s="1" t="s">
        <v>79</v>
      </c>
      <c r="AE38" s="1"/>
    </row>
    <row r="39" spans="1:31" x14ac:dyDescent="0.3">
      <c r="A39" s="1" t="s">
        <v>31</v>
      </c>
      <c r="B39" s="1" t="s">
        <v>25</v>
      </c>
      <c r="C39" s="1">
        <v>50</v>
      </c>
      <c r="D39" s="1">
        <v>0</v>
      </c>
      <c r="E39" s="1"/>
      <c r="G39" s="1">
        <v>18</v>
      </c>
      <c r="I39" s="1">
        <v>18</v>
      </c>
      <c r="Q39" s="1">
        <v>17.899999999999999</v>
      </c>
      <c r="R39" s="1">
        <v>17.899999999999999</v>
      </c>
      <c r="S39" s="1">
        <f t="shared" si="0"/>
        <v>-0.10000000000000142</v>
      </c>
      <c r="T39" s="1">
        <f t="shared" si="1"/>
        <v>-0.10000000000000142</v>
      </c>
      <c r="U39" s="9">
        <f t="shared" si="2"/>
        <v>-5.5555555555556347E-3</v>
      </c>
      <c r="W39" s="1">
        <v>2000</v>
      </c>
      <c r="X39" s="1">
        <v>20</v>
      </c>
      <c r="Y39" s="1">
        <v>100</v>
      </c>
      <c r="Z39" s="1"/>
      <c r="AA39" s="1"/>
      <c r="AB39" s="1"/>
      <c r="AC39" s="1"/>
      <c r="AD39" s="1" t="s">
        <v>79</v>
      </c>
      <c r="AE39" s="1"/>
    </row>
    <row r="40" spans="1:31" x14ac:dyDescent="0.3">
      <c r="A40" s="1" t="s">
        <v>31</v>
      </c>
      <c r="B40" s="1" t="s">
        <v>25</v>
      </c>
      <c r="C40" s="1">
        <v>75</v>
      </c>
      <c r="D40" s="1">
        <v>0</v>
      </c>
      <c r="E40" s="1"/>
      <c r="G40" s="1">
        <v>13</v>
      </c>
      <c r="I40" s="1">
        <v>13</v>
      </c>
      <c r="Q40" s="1">
        <v>13.2</v>
      </c>
      <c r="R40" s="1">
        <v>13.2</v>
      </c>
      <c r="S40" s="1">
        <f t="shared" si="0"/>
        <v>0.19999999999999929</v>
      </c>
      <c r="T40" s="1">
        <f t="shared" si="1"/>
        <v>0.19999999999999929</v>
      </c>
      <c r="U40" s="9">
        <f t="shared" si="2"/>
        <v>1.538461538461533E-2</v>
      </c>
      <c r="W40" s="1">
        <v>2000</v>
      </c>
      <c r="X40" s="1">
        <v>20</v>
      </c>
      <c r="Y40" s="1">
        <v>100</v>
      </c>
      <c r="Z40" s="1"/>
      <c r="AA40" s="1"/>
      <c r="AB40" s="1"/>
      <c r="AC40" s="1"/>
      <c r="AD40" s="1" t="s">
        <v>79</v>
      </c>
      <c r="AE40" s="1"/>
    </row>
    <row r="41" spans="1:31" x14ac:dyDescent="0.3">
      <c r="A41" s="1" t="s">
        <v>31</v>
      </c>
      <c r="B41" s="1" t="s">
        <v>25</v>
      </c>
      <c r="C41" s="1">
        <v>100</v>
      </c>
      <c r="D41" s="1">
        <v>0</v>
      </c>
      <c r="E41" s="1"/>
      <c r="G41" s="1">
        <v>11</v>
      </c>
      <c r="I41" s="1">
        <v>11</v>
      </c>
      <c r="Q41" s="1">
        <v>11</v>
      </c>
      <c r="R41" s="1">
        <v>11</v>
      </c>
      <c r="S41" s="1">
        <f t="shared" si="0"/>
        <v>0</v>
      </c>
      <c r="T41" s="1">
        <f t="shared" si="1"/>
        <v>0</v>
      </c>
      <c r="U41" s="9">
        <f t="shared" si="2"/>
        <v>0</v>
      </c>
      <c r="W41" s="1">
        <v>2000</v>
      </c>
      <c r="X41" s="1">
        <v>20</v>
      </c>
      <c r="Y41" s="1">
        <v>100</v>
      </c>
      <c r="Z41" s="1"/>
      <c r="AA41" s="1"/>
      <c r="AB41" s="1"/>
      <c r="AC41" s="1"/>
      <c r="AD41" s="1" t="s">
        <v>79</v>
      </c>
      <c r="AE41" s="1"/>
    </row>
    <row r="42" spans="1:31" x14ac:dyDescent="0.3">
      <c r="A42" s="1" t="s">
        <v>39</v>
      </c>
      <c r="B42" s="1" t="s">
        <v>25</v>
      </c>
      <c r="C42" s="1">
        <v>40</v>
      </c>
      <c r="D42" s="1">
        <v>0</v>
      </c>
      <c r="E42" s="1"/>
      <c r="G42" s="1">
        <v>32</v>
      </c>
      <c r="I42" s="1">
        <v>33</v>
      </c>
      <c r="Q42" s="1">
        <v>32.700000000000003</v>
      </c>
      <c r="R42" s="1">
        <v>32.700000000000003</v>
      </c>
      <c r="S42" s="1">
        <f t="shared" si="0"/>
        <v>0.70000000000000284</v>
      </c>
      <c r="T42" s="1">
        <f t="shared" si="1"/>
        <v>-0.29999999999999716</v>
      </c>
      <c r="U42" s="9">
        <f t="shared" si="2"/>
        <v>-9.0909090909090055E-3</v>
      </c>
      <c r="W42" s="1">
        <v>1565.44</v>
      </c>
      <c r="X42" s="1">
        <v>256</v>
      </c>
      <c r="Y42" s="1">
        <v>3.125</v>
      </c>
      <c r="Z42" s="1"/>
      <c r="AA42" s="1"/>
      <c r="AB42" s="1"/>
      <c r="AC42" s="1"/>
      <c r="AD42" s="1" t="s">
        <v>80</v>
      </c>
      <c r="AE42" s="1"/>
    </row>
    <row r="43" spans="1:31" x14ac:dyDescent="0.3">
      <c r="A43" s="1" t="s">
        <v>73</v>
      </c>
      <c r="B43" s="1">
        <v>300</v>
      </c>
      <c r="C43" s="1">
        <v>20</v>
      </c>
      <c r="D43" s="1">
        <v>0</v>
      </c>
      <c r="E43" s="1"/>
      <c r="G43" s="1">
        <v>312</v>
      </c>
      <c r="I43" s="1">
        <v>312</v>
      </c>
      <c r="Q43" s="1">
        <v>312.39999999999998</v>
      </c>
      <c r="R43" s="1">
        <v>312.39999999999998</v>
      </c>
      <c r="S43" s="1">
        <f t="shared" si="0"/>
        <v>0.39999999999997726</v>
      </c>
      <c r="T43" s="1">
        <f t="shared" si="1"/>
        <v>0.39999999999997726</v>
      </c>
      <c r="U43" s="9">
        <f t="shared" si="2"/>
        <v>1.2820512820512092E-3</v>
      </c>
      <c r="W43" s="1"/>
      <c r="X43" s="1"/>
      <c r="Y43" s="1"/>
      <c r="Z43" s="1">
        <v>6400</v>
      </c>
      <c r="AA43" s="1">
        <v>80</v>
      </c>
      <c r="AB43" s="1">
        <v>80</v>
      </c>
      <c r="AC43" s="1">
        <v>1890</v>
      </c>
      <c r="AD43" s="1" t="s">
        <v>81</v>
      </c>
      <c r="AE43" s="1"/>
    </row>
    <row r="44" spans="1:31" x14ac:dyDescent="0.3">
      <c r="A44" s="1" t="s">
        <v>73</v>
      </c>
      <c r="B44" s="1">
        <v>1200</v>
      </c>
      <c r="C44" s="1">
        <v>20</v>
      </c>
      <c r="D44" s="1">
        <v>0</v>
      </c>
      <c r="E44" s="1"/>
      <c r="G44" s="1">
        <v>1192</v>
      </c>
      <c r="I44">
        <v>1192</v>
      </c>
      <c r="Q44" s="1">
        <v>1195.2</v>
      </c>
      <c r="R44" s="1">
        <v>1195.2</v>
      </c>
      <c r="S44" s="1">
        <f t="shared" si="0"/>
        <v>3.2000000000000455</v>
      </c>
      <c r="T44" s="1">
        <f t="shared" si="1"/>
        <v>3.2000000000000455</v>
      </c>
      <c r="U44" s="9">
        <f t="shared" si="2"/>
        <v>2.6845637583892998E-3</v>
      </c>
      <c r="W44" s="1"/>
      <c r="X44" s="1"/>
      <c r="Y44" s="1"/>
      <c r="Z44" s="1">
        <v>6400</v>
      </c>
      <c r="AA44" s="1">
        <v>80</v>
      </c>
      <c r="AB44" s="1">
        <v>80</v>
      </c>
      <c r="AC44" s="1">
        <v>1890</v>
      </c>
      <c r="AD44" s="1" t="s">
        <v>81</v>
      </c>
      <c r="AE44" s="1"/>
    </row>
    <row r="45" spans="1:31" x14ac:dyDescent="0.3">
      <c r="A45" s="1" t="s">
        <v>73</v>
      </c>
      <c r="B45" s="1">
        <v>600</v>
      </c>
      <c r="C45" s="1">
        <v>10</v>
      </c>
      <c r="D45" s="1">
        <v>0</v>
      </c>
      <c r="E45" s="1"/>
      <c r="G45" s="7">
        <v>1156</v>
      </c>
      <c r="I45" s="8">
        <v>1156</v>
      </c>
      <c r="Q45" s="1">
        <v>1152.5999999999999</v>
      </c>
      <c r="R45" s="1">
        <v>1152.5999999999999</v>
      </c>
      <c r="S45" s="1">
        <f t="shared" si="0"/>
        <v>-3.4000000000000909</v>
      </c>
      <c r="T45" s="1">
        <f t="shared" si="1"/>
        <v>-3.4000000000000909</v>
      </c>
      <c r="U45" s="9">
        <f t="shared" si="2"/>
        <v>-2.9411764705883142E-3</v>
      </c>
      <c r="W45" s="1"/>
      <c r="X45" s="1"/>
      <c r="Y45" s="1"/>
      <c r="Z45" s="1">
        <v>6400</v>
      </c>
      <c r="AA45" s="1">
        <v>80</v>
      </c>
      <c r="AB45" s="1">
        <v>80</v>
      </c>
      <c r="AC45" s="1">
        <v>1890</v>
      </c>
      <c r="AD45" s="1" t="s">
        <v>81</v>
      </c>
      <c r="AE45" s="1"/>
    </row>
    <row r="46" spans="1:31" x14ac:dyDescent="0.3">
      <c r="A46" s="1" t="s">
        <v>73</v>
      </c>
      <c r="B46" s="1">
        <v>600</v>
      </c>
      <c r="C46" s="1">
        <v>40</v>
      </c>
      <c r="D46" s="1">
        <v>0</v>
      </c>
      <c r="E46" s="1"/>
      <c r="G46" s="1">
        <v>391</v>
      </c>
      <c r="I46">
        <v>391</v>
      </c>
      <c r="Q46" s="1">
        <v>391.1</v>
      </c>
      <c r="R46" s="1">
        <v>391.1</v>
      </c>
      <c r="S46" s="1">
        <f t="shared" si="0"/>
        <v>0.10000000000002274</v>
      </c>
      <c r="T46" s="1">
        <f t="shared" si="1"/>
        <v>0.10000000000002274</v>
      </c>
      <c r="U46" s="9">
        <f t="shared" si="2"/>
        <v>2.5575447570338295E-4</v>
      </c>
      <c r="W46" s="1"/>
      <c r="X46" s="1"/>
      <c r="Y46" s="1"/>
      <c r="Z46" s="1">
        <v>6400</v>
      </c>
      <c r="AA46" s="1">
        <v>80</v>
      </c>
      <c r="AB46" s="1">
        <v>80</v>
      </c>
      <c r="AC46" s="1">
        <v>1890</v>
      </c>
      <c r="AD46" s="1" t="s">
        <v>81</v>
      </c>
      <c r="AE46" s="1"/>
    </row>
    <row r="47" spans="1:31" x14ac:dyDescent="0.3">
      <c r="A47" s="1" t="s">
        <v>73</v>
      </c>
      <c r="B47" s="1">
        <v>300</v>
      </c>
      <c r="C47" s="1">
        <v>40</v>
      </c>
      <c r="D47" s="1">
        <v>0</v>
      </c>
      <c r="E47" s="1"/>
      <c r="G47" s="1">
        <v>204</v>
      </c>
      <c r="I47">
        <v>204</v>
      </c>
      <c r="Q47" s="1">
        <v>204.6</v>
      </c>
      <c r="R47" s="1">
        <v>204.6</v>
      </c>
      <c r="S47" s="1">
        <f t="shared" si="0"/>
        <v>0.59999999999999432</v>
      </c>
      <c r="T47" s="1">
        <f t="shared" si="1"/>
        <v>0.59999999999999432</v>
      </c>
      <c r="U47" s="9">
        <f t="shared" si="2"/>
        <v>2.9411764705882075E-3</v>
      </c>
      <c r="W47" s="1"/>
      <c r="X47" s="1"/>
      <c r="Y47" s="1"/>
      <c r="Z47" s="1">
        <v>6400</v>
      </c>
      <c r="AA47" s="1">
        <v>80</v>
      </c>
      <c r="AB47" s="1">
        <v>80</v>
      </c>
      <c r="AC47" s="1">
        <v>1890</v>
      </c>
      <c r="AD47" s="1" t="s">
        <v>81</v>
      </c>
      <c r="AE47" s="1"/>
    </row>
    <row r="48" spans="1:31" x14ac:dyDescent="0.3">
      <c r="A48" s="1" t="s">
        <v>73</v>
      </c>
      <c r="B48" s="1">
        <v>1200</v>
      </c>
      <c r="C48" s="1">
        <v>10</v>
      </c>
      <c r="D48" s="1">
        <v>0</v>
      </c>
      <c r="E48" s="1"/>
      <c r="G48" s="1">
        <v>2288</v>
      </c>
      <c r="I48">
        <v>2288</v>
      </c>
      <c r="Q48" s="1">
        <v>2286.9</v>
      </c>
      <c r="R48" s="1">
        <v>2286.9</v>
      </c>
      <c r="S48" s="1">
        <f t="shared" si="0"/>
        <v>-1.0999999999999091</v>
      </c>
      <c r="T48" s="1">
        <f t="shared" si="1"/>
        <v>-1.0999999999999091</v>
      </c>
      <c r="U48" s="9">
        <f t="shared" si="2"/>
        <v>-4.8076923076919101E-4</v>
      </c>
      <c r="W48" s="1"/>
      <c r="X48" s="1"/>
      <c r="Y48" s="1"/>
      <c r="Z48" s="1">
        <v>6400</v>
      </c>
      <c r="AA48" s="1">
        <v>80</v>
      </c>
      <c r="AB48" s="1">
        <v>80</v>
      </c>
      <c r="AC48" s="1">
        <v>1890</v>
      </c>
      <c r="AD48" s="1" t="s">
        <v>81</v>
      </c>
      <c r="AE48" s="1"/>
    </row>
    <row r="51" spans="1:31" x14ac:dyDescent="0.3">
      <c r="A51" s="1" t="s">
        <v>73</v>
      </c>
      <c r="B51" s="1">
        <v>600</v>
      </c>
      <c r="C51" s="1">
        <v>60</v>
      </c>
      <c r="D51" s="1">
        <v>0</v>
      </c>
      <c r="E51" s="1"/>
      <c r="G51" s="1"/>
      <c r="H51" s="1"/>
      <c r="I51" s="6"/>
      <c r="J51" s="6"/>
      <c r="Q51" s="1">
        <v>320.89999999999998</v>
      </c>
      <c r="R51" s="1">
        <v>320.89999999999998</v>
      </c>
      <c r="S51" s="1" t="str">
        <f t="shared" ref="S51:S73" si="3">IF(AND(ISNUMBER(Q51),ISNUMBER(G51)),Q51-G51,"")</f>
        <v/>
      </c>
      <c r="T51" s="1" t="str">
        <f t="shared" ref="T51:T73" si="4">IF(AND(ISNUMBER(R51),ISNUMBER(I51)),R51-I51,"")</f>
        <v/>
      </c>
      <c r="U51" s="9" t="str">
        <f t="shared" ref="U51:U73" si="5">IF(AND(ISNUMBER(R51),ISNUMBER(I51),I51&lt;&gt;0),(R51-I51)/I51,"")</f>
        <v/>
      </c>
      <c r="W51" s="1"/>
      <c r="X51" s="1"/>
      <c r="Y51" s="1"/>
      <c r="Z51" s="1"/>
      <c r="AA51" s="1"/>
      <c r="AB51" s="1"/>
      <c r="AC51" s="1"/>
      <c r="AD51" s="1" t="s">
        <v>82</v>
      </c>
      <c r="AE51" s="1"/>
    </row>
    <row r="52" spans="1:31" x14ac:dyDescent="0.3">
      <c r="A52" s="1" t="s">
        <v>73</v>
      </c>
      <c r="B52" s="1">
        <v>600</v>
      </c>
      <c r="C52" s="1">
        <v>80</v>
      </c>
      <c r="D52" s="1">
        <v>0</v>
      </c>
      <c r="E52" s="1"/>
      <c r="G52" s="1"/>
      <c r="H52" s="1"/>
      <c r="I52" s="6"/>
      <c r="J52" s="6"/>
      <c r="Q52" s="1">
        <v>286.2</v>
      </c>
      <c r="R52" s="1">
        <v>286.2</v>
      </c>
      <c r="S52" s="1" t="str">
        <f t="shared" si="3"/>
        <v/>
      </c>
      <c r="T52" s="1" t="str">
        <f t="shared" si="4"/>
        <v/>
      </c>
      <c r="U52" s="9" t="str">
        <f t="shared" si="5"/>
        <v/>
      </c>
      <c r="W52" s="1"/>
      <c r="X52" s="1"/>
      <c r="Y52" s="1"/>
      <c r="Z52" s="1"/>
      <c r="AA52" s="1"/>
      <c r="AB52" s="1"/>
      <c r="AC52" s="1"/>
      <c r="AD52" s="1" t="s">
        <v>83</v>
      </c>
      <c r="AE52" s="1"/>
    </row>
    <row r="53" spans="1:31" x14ac:dyDescent="0.3">
      <c r="A53" s="1" t="s">
        <v>73</v>
      </c>
      <c r="B53" s="1">
        <v>600</v>
      </c>
      <c r="C53" s="1">
        <v>100</v>
      </c>
      <c r="D53" s="1">
        <v>0</v>
      </c>
      <c r="E53" s="1"/>
      <c r="G53" s="1"/>
      <c r="H53" s="1"/>
      <c r="I53" s="6"/>
      <c r="J53" s="6"/>
      <c r="Q53" s="1">
        <v>265.5</v>
      </c>
      <c r="R53" s="1">
        <v>265.5</v>
      </c>
      <c r="S53" s="1" t="str">
        <f t="shared" si="3"/>
        <v/>
      </c>
      <c r="T53" s="1" t="str">
        <f t="shared" si="4"/>
        <v/>
      </c>
      <c r="U53" s="9" t="str">
        <f t="shared" si="5"/>
        <v/>
      </c>
      <c r="W53" s="1"/>
      <c r="X53" s="1"/>
      <c r="Y53" s="1"/>
      <c r="Z53" s="1"/>
      <c r="AA53" s="1"/>
      <c r="AB53" s="1"/>
      <c r="AC53" s="1"/>
      <c r="AD53" s="1" t="s">
        <v>84</v>
      </c>
      <c r="AE53" s="1"/>
    </row>
    <row r="54" spans="1:31" x14ac:dyDescent="0.3">
      <c r="A54" s="1" t="s">
        <v>55</v>
      </c>
      <c r="B54" s="1">
        <v>300</v>
      </c>
      <c r="C54" s="1">
        <v>20</v>
      </c>
      <c r="D54" s="1">
        <v>0</v>
      </c>
      <c r="E54" s="1"/>
      <c r="G54" s="1"/>
      <c r="H54" s="1"/>
      <c r="I54" s="6"/>
      <c r="J54" s="6"/>
      <c r="Q54" s="1">
        <v>117</v>
      </c>
      <c r="R54" s="1">
        <v>117</v>
      </c>
      <c r="S54" s="1" t="str">
        <f t="shared" si="3"/>
        <v/>
      </c>
      <c r="T54" s="1" t="str">
        <f t="shared" si="4"/>
        <v/>
      </c>
      <c r="U54" s="9" t="str">
        <f t="shared" si="5"/>
        <v/>
      </c>
      <c r="W54" s="1"/>
      <c r="X54" s="1"/>
      <c r="Y54" s="1"/>
      <c r="Z54" s="1"/>
      <c r="AA54" s="1"/>
      <c r="AB54" s="1"/>
      <c r="AC54" s="1"/>
      <c r="AD54" s="1" t="s">
        <v>85</v>
      </c>
      <c r="AE54" s="1"/>
    </row>
    <row r="55" spans="1:31" x14ac:dyDescent="0.3">
      <c r="A55" s="1" t="s">
        <v>55</v>
      </c>
      <c r="B55" s="1">
        <v>1200</v>
      </c>
      <c r="C55" s="1">
        <v>20</v>
      </c>
      <c r="D55" s="1">
        <v>0</v>
      </c>
      <c r="E55" s="1"/>
      <c r="G55" s="1"/>
      <c r="H55" s="1"/>
      <c r="I55" s="6"/>
      <c r="J55" s="6"/>
      <c r="Q55" s="1">
        <v>439.2</v>
      </c>
      <c r="R55" s="1">
        <v>439.2</v>
      </c>
      <c r="S55" s="1" t="str">
        <f t="shared" si="3"/>
        <v/>
      </c>
      <c r="T55" s="1" t="str">
        <f t="shared" si="4"/>
        <v/>
      </c>
      <c r="U55" s="9" t="str">
        <f t="shared" si="5"/>
        <v/>
      </c>
      <c r="W55" s="1"/>
      <c r="X55" s="1"/>
      <c r="Y55" s="1"/>
      <c r="Z55" s="1"/>
      <c r="AA55" s="1"/>
      <c r="AB55" s="1"/>
      <c r="AC55" s="1"/>
      <c r="AD55" s="1" t="s">
        <v>86</v>
      </c>
      <c r="AE55" s="1"/>
    </row>
    <row r="56" spans="1:31" x14ac:dyDescent="0.3">
      <c r="A56" s="1" t="s">
        <v>87</v>
      </c>
      <c r="B56" s="1" t="s">
        <v>25</v>
      </c>
      <c r="C56" s="1">
        <v>8</v>
      </c>
      <c r="D56" s="1">
        <v>0</v>
      </c>
      <c r="E56" s="1"/>
      <c r="G56" s="1"/>
      <c r="H56" s="1"/>
      <c r="I56" s="6"/>
      <c r="J56" s="6"/>
      <c r="Q56" s="1">
        <v>96.2</v>
      </c>
      <c r="R56" s="1">
        <v>82.4</v>
      </c>
      <c r="S56" s="1" t="str">
        <f t="shared" si="3"/>
        <v/>
      </c>
      <c r="T56" s="1" t="str">
        <f t="shared" si="4"/>
        <v/>
      </c>
      <c r="U56" s="9" t="str">
        <f t="shared" si="5"/>
        <v/>
      </c>
      <c r="W56" s="1">
        <v>1200</v>
      </c>
      <c r="X56" s="1">
        <v>25</v>
      </c>
      <c r="Y56" s="1"/>
      <c r="Z56" s="1"/>
      <c r="AA56" s="1"/>
      <c r="AB56" s="1"/>
      <c r="AC56" s="1"/>
      <c r="AD56" s="1" t="s">
        <v>88</v>
      </c>
      <c r="AE56" s="1"/>
    </row>
    <row r="57" spans="1:31" x14ac:dyDescent="0.3">
      <c r="A57" s="1" t="s">
        <v>89</v>
      </c>
      <c r="B57" s="1" t="s">
        <v>25</v>
      </c>
      <c r="C57" s="1">
        <v>8</v>
      </c>
      <c r="D57" s="1">
        <v>0</v>
      </c>
      <c r="E57" s="1"/>
      <c r="G57" s="1"/>
      <c r="H57" s="1"/>
      <c r="I57" s="6"/>
      <c r="J57" s="6"/>
      <c r="Q57" s="1">
        <v>133</v>
      </c>
      <c r="R57" s="1">
        <v>82.4</v>
      </c>
      <c r="S57" s="1" t="str">
        <f t="shared" si="3"/>
        <v/>
      </c>
      <c r="T57" s="1" t="str">
        <f t="shared" si="4"/>
        <v/>
      </c>
      <c r="U57" s="9" t="str">
        <f t="shared" si="5"/>
        <v/>
      </c>
      <c r="W57" s="1">
        <v>1200</v>
      </c>
      <c r="X57" s="1">
        <v>25</v>
      </c>
      <c r="Y57" s="1"/>
      <c r="Z57" s="1"/>
      <c r="AA57" s="1"/>
      <c r="AB57" s="1"/>
      <c r="AC57" s="1"/>
      <c r="AD57" s="1" t="s">
        <v>90</v>
      </c>
      <c r="AE57" s="1"/>
    </row>
    <row r="58" spans="1:31" x14ac:dyDescent="0.3">
      <c r="A58" s="1" t="s">
        <v>91</v>
      </c>
      <c r="B58" s="1" t="s">
        <v>25</v>
      </c>
      <c r="C58" s="1">
        <v>8</v>
      </c>
      <c r="D58" s="1">
        <v>0</v>
      </c>
      <c r="E58" s="1"/>
      <c r="G58" s="1"/>
      <c r="H58" s="1"/>
      <c r="I58" s="6"/>
      <c r="J58" s="6"/>
      <c r="Q58" s="1">
        <v>95.7</v>
      </c>
      <c r="R58" s="1">
        <v>50.9</v>
      </c>
      <c r="S58" s="1" t="str">
        <f t="shared" si="3"/>
        <v/>
      </c>
      <c r="T58" s="1" t="str">
        <f t="shared" si="4"/>
        <v/>
      </c>
      <c r="U58" s="9" t="str">
        <f t="shared" si="5"/>
        <v/>
      </c>
      <c r="W58" s="1">
        <v>480</v>
      </c>
      <c r="X58" s="1">
        <v>40</v>
      </c>
      <c r="Y58" s="1"/>
      <c r="Z58" s="1"/>
      <c r="AA58" s="1"/>
      <c r="AB58" s="1"/>
      <c r="AC58" s="1"/>
      <c r="AD58" s="1" t="s">
        <v>92</v>
      </c>
      <c r="AE58" s="1" t="s">
        <v>93</v>
      </c>
    </row>
    <row r="59" spans="1:31" x14ac:dyDescent="0.3">
      <c r="A59" s="1" t="s">
        <v>94</v>
      </c>
      <c r="B59" s="1" t="s">
        <v>25</v>
      </c>
      <c r="C59" s="1">
        <v>8</v>
      </c>
      <c r="D59" s="1">
        <v>0</v>
      </c>
      <c r="E59" s="1"/>
      <c r="G59" s="1"/>
      <c r="H59" s="1"/>
      <c r="I59" s="6"/>
      <c r="J59" s="6"/>
      <c r="Q59" s="1">
        <v>127.7</v>
      </c>
      <c r="R59" s="1">
        <v>127.7</v>
      </c>
      <c r="S59" s="1" t="str">
        <f t="shared" si="3"/>
        <v/>
      </c>
      <c r="T59" s="1" t="str">
        <f t="shared" si="4"/>
        <v/>
      </c>
      <c r="U59" s="9" t="str">
        <f t="shared" si="5"/>
        <v/>
      </c>
      <c r="W59" s="1">
        <v>2000</v>
      </c>
      <c r="X59" s="1">
        <v>100</v>
      </c>
      <c r="Y59" s="1"/>
      <c r="Z59" s="1"/>
      <c r="AA59" s="1"/>
      <c r="AB59" s="1"/>
      <c r="AC59" s="1"/>
      <c r="AD59" s="1" t="s">
        <v>95</v>
      </c>
      <c r="AE59" s="1" t="s">
        <v>96</v>
      </c>
    </row>
    <row r="60" spans="1:31" x14ac:dyDescent="0.3">
      <c r="A60" s="1" t="s">
        <v>97</v>
      </c>
      <c r="B60" s="1" t="s">
        <v>25</v>
      </c>
      <c r="C60" s="1">
        <v>8</v>
      </c>
      <c r="D60" s="1">
        <v>0</v>
      </c>
      <c r="E60" s="1"/>
      <c r="G60" s="1"/>
      <c r="H60" s="1"/>
      <c r="I60" s="6"/>
      <c r="J60" s="6"/>
      <c r="Q60" s="1">
        <v>136.5</v>
      </c>
      <c r="R60" s="1">
        <v>136.5</v>
      </c>
      <c r="S60" s="1" t="str">
        <f t="shared" si="3"/>
        <v/>
      </c>
      <c r="T60" s="1" t="str">
        <f t="shared" si="4"/>
        <v/>
      </c>
      <c r="U60" s="9" t="str">
        <f t="shared" si="5"/>
        <v/>
      </c>
      <c r="W60" s="1">
        <v>2000</v>
      </c>
      <c r="X60" s="1">
        <v>100</v>
      </c>
      <c r="Y60" s="1"/>
      <c r="Z60" s="1"/>
      <c r="AA60" s="1"/>
      <c r="AB60" s="1"/>
      <c r="AC60" s="1"/>
      <c r="AD60" s="1" t="s">
        <v>98</v>
      </c>
      <c r="AE60" s="1" t="s">
        <v>96</v>
      </c>
    </row>
    <row r="61" spans="1:31" x14ac:dyDescent="0.3">
      <c r="A61" s="1" t="s">
        <v>99</v>
      </c>
      <c r="B61" s="1" t="s">
        <v>25</v>
      </c>
      <c r="C61" s="1">
        <v>8</v>
      </c>
      <c r="D61" s="1">
        <v>0</v>
      </c>
      <c r="E61" s="1"/>
      <c r="G61" s="1"/>
      <c r="H61" s="1"/>
      <c r="I61" s="6"/>
      <c r="J61" s="6"/>
      <c r="Q61" s="1">
        <v>150.4</v>
      </c>
      <c r="R61" s="1">
        <v>150.4</v>
      </c>
      <c r="S61" s="1" t="str">
        <f t="shared" si="3"/>
        <v/>
      </c>
      <c r="T61" s="1" t="str">
        <f t="shared" si="4"/>
        <v/>
      </c>
      <c r="U61" s="9" t="str">
        <f t="shared" si="5"/>
        <v/>
      </c>
      <c r="W61" s="1">
        <v>2000</v>
      </c>
      <c r="X61" s="1">
        <v>100</v>
      </c>
      <c r="Y61" s="1"/>
      <c r="Z61" s="1"/>
      <c r="AA61" s="1"/>
      <c r="AB61" s="1"/>
      <c r="AC61" s="1"/>
      <c r="AD61" s="1" t="s">
        <v>100</v>
      </c>
      <c r="AE61" s="1" t="s">
        <v>96</v>
      </c>
    </row>
    <row r="62" spans="1:31" x14ac:dyDescent="0.3">
      <c r="A62" s="1" t="s">
        <v>101</v>
      </c>
      <c r="B62" s="1" t="s">
        <v>25</v>
      </c>
      <c r="C62" s="1">
        <v>8</v>
      </c>
      <c r="D62" s="1">
        <v>0</v>
      </c>
      <c r="E62" s="1"/>
      <c r="G62" s="1"/>
      <c r="H62" s="1"/>
      <c r="I62" s="6"/>
      <c r="J62" s="6"/>
      <c r="Q62" s="1">
        <v>4.8</v>
      </c>
      <c r="R62" s="1">
        <v>4.8</v>
      </c>
      <c r="S62" s="1" t="str">
        <f t="shared" si="3"/>
        <v/>
      </c>
      <c r="T62" s="1" t="str">
        <f t="shared" si="4"/>
        <v/>
      </c>
      <c r="U62" s="9" t="str">
        <f t="shared" si="5"/>
        <v/>
      </c>
      <c r="W62" s="1">
        <v>80</v>
      </c>
      <c r="X62" s="1">
        <v>1</v>
      </c>
      <c r="Y62" s="1"/>
      <c r="Z62" s="1"/>
      <c r="AA62" s="1"/>
      <c r="AB62" s="1"/>
      <c r="AC62" s="1"/>
      <c r="AD62" s="1" t="s">
        <v>102</v>
      </c>
      <c r="AE62" s="1"/>
    </row>
    <row r="63" spans="1:31" x14ac:dyDescent="0.3">
      <c r="A63" s="1" t="s">
        <v>103</v>
      </c>
      <c r="B63" s="1" t="s">
        <v>25</v>
      </c>
      <c r="C63" s="1">
        <v>8</v>
      </c>
      <c r="D63" s="1">
        <v>0</v>
      </c>
      <c r="E63" s="1"/>
      <c r="G63" s="1"/>
      <c r="H63" s="1"/>
      <c r="I63" s="6"/>
      <c r="J63" s="6"/>
      <c r="Q63" s="1">
        <v>9.4</v>
      </c>
      <c r="R63" s="1">
        <v>9.4</v>
      </c>
      <c r="S63" s="1" t="str">
        <f t="shared" si="3"/>
        <v/>
      </c>
      <c r="T63" s="1" t="str">
        <f t="shared" si="4"/>
        <v/>
      </c>
      <c r="U63" s="9" t="str">
        <f t="shared" si="5"/>
        <v/>
      </c>
      <c r="W63" s="1">
        <v>80</v>
      </c>
      <c r="X63" s="1">
        <v>1</v>
      </c>
      <c r="Y63" s="1"/>
      <c r="Z63" s="1"/>
      <c r="AA63" s="1"/>
      <c r="AB63" s="1"/>
      <c r="AC63" s="1"/>
      <c r="AD63" s="1" t="s">
        <v>104</v>
      </c>
      <c r="AE63" s="1" t="s">
        <v>105</v>
      </c>
    </row>
    <row r="64" spans="1:31" x14ac:dyDescent="0.3">
      <c r="A64" s="1" t="s">
        <v>106</v>
      </c>
      <c r="B64" s="1" t="s">
        <v>25</v>
      </c>
      <c r="C64" s="1">
        <v>8</v>
      </c>
      <c r="D64" s="1">
        <v>0</v>
      </c>
      <c r="E64" s="1"/>
      <c r="G64" s="1"/>
      <c r="H64" s="1"/>
      <c r="I64" s="6"/>
      <c r="J64" s="6"/>
      <c r="Q64" s="1">
        <v>34.799999999999997</v>
      </c>
      <c r="R64" s="1">
        <v>32</v>
      </c>
      <c r="S64" s="1" t="str">
        <f t="shared" si="3"/>
        <v/>
      </c>
      <c r="T64" s="1" t="str">
        <f t="shared" si="4"/>
        <v/>
      </c>
      <c r="U64" s="9" t="str">
        <f t="shared" si="5"/>
        <v/>
      </c>
      <c r="W64" s="1">
        <v>200</v>
      </c>
      <c r="X64" s="1">
        <v>200</v>
      </c>
      <c r="Y64" s="1"/>
      <c r="Z64" s="1"/>
      <c r="AA64" s="1"/>
      <c r="AB64" s="1"/>
      <c r="AC64" s="1"/>
      <c r="AD64" s="1" t="s">
        <v>107</v>
      </c>
      <c r="AE64" s="1" t="s">
        <v>108</v>
      </c>
    </row>
    <row r="65" spans="1:31" x14ac:dyDescent="0.3">
      <c r="A65" s="1" t="s">
        <v>109</v>
      </c>
      <c r="B65" s="1" t="s">
        <v>25</v>
      </c>
      <c r="C65" s="1">
        <v>8</v>
      </c>
      <c r="D65" s="1">
        <v>0</v>
      </c>
      <c r="E65" s="1"/>
      <c r="G65" s="1"/>
      <c r="H65" s="1"/>
      <c r="I65" s="6"/>
      <c r="J65" s="6"/>
      <c r="Q65" s="1">
        <v>135.6</v>
      </c>
      <c r="R65" s="1">
        <v>135.6</v>
      </c>
      <c r="S65" s="1" t="str">
        <f t="shared" si="3"/>
        <v/>
      </c>
      <c r="T65" s="1" t="str">
        <f t="shared" si="4"/>
        <v/>
      </c>
      <c r="U65" s="9" t="str">
        <f t="shared" si="5"/>
        <v/>
      </c>
      <c r="W65" s="1">
        <v>2700</v>
      </c>
      <c r="X65" s="1">
        <v>1</v>
      </c>
      <c r="Y65" s="1"/>
      <c r="Z65" s="1"/>
      <c r="AA65" s="1"/>
      <c r="AB65" s="1"/>
      <c r="AC65" s="1"/>
      <c r="AD65" s="1" t="s">
        <v>110</v>
      </c>
      <c r="AE65" s="1" t="s">
        <v>111</v>
      </c>
    </row>
    <row r="66" spans="1:31" x14ac:dyDescent="0.3">
      <c r="A66" s="1" t="s">
        <v>112</v>
      </c>
      <c r="B66" s="1" t="s">
        <v>25</v>
      </c>
      <c r="C66" s="1">
        <v>8</v>
      </c>
      <c r="D66" s="1">
        <v>0</v>
      </c>
      <c r="E66" s="1"/>
      <c r="G66" s="1"/>
      <c r="H66" s="1"/>
      <c r="I66" s="6"/>
      <c r="J66" s="6"/>
      <c r="Q66" s="1">
        <v>135.6</v>
      </c>
      <c r="R66" s="1">
        <v>135.6</v>
      </c>
      <c r="S66" s="1" t="str">
        <f t="shared" si="3"/>
        <v/>
      </c>
      <c r="T66" s="1" t="str">
        <f t="shared" si="4"/>
        <v/>
      </c>
      <c r="U66" s="9" t="str">
        <f t="shared" si="5"/>
        <v/>
      </c>
      <c r="W66" s="1">
        <v>2700</v>
      </c>
      <c r="X66" s="1">
        <v>1</v>
      </c>
      <c r="Y66" s="1"/>
      <c r="Z66" s="1"/>
      <c r="AA66" s="1"/>
      <c r="AB66" s="1"/>
      <c r="AC66" s="1"/>
      <c r="AD66" s="1" t="s">
        <v>113</v>
      </c>
      <c r="AE66" s="1" t="s">
        <v>111</v>
      </c>
    </row>
    <row r="67" spans="1:31" x14ac:dyDescent="0.3">
      <c r="A67" s="1" t="s">
        <v>114</v>
      </c>
      <c r="B67" s="1" t="s">
        <v>25</v>
      </c>
      <c r="C67" s="1">
        <v>8</v>
      </c>
      <c r="D67" s="1">
        <v>0</v>
      </c>
      <c r="E67" s="1"/>
      <c r="G67" s="1"/>
      <c r="H67" s="1"/>
      <c r="I67" s="6"/>
      <c r="J67" s="6"/>
      <c r="Q67" s="1">
        <v>140.69999999999999</v>
      </c>
      <c r="R67" s="1">
        <v>140.69999999999999</v>
      </c>
      <c r="S67" s="1" t="str">
        <f t="shared" si="3"/>
        <v/>
      </c>
      <c r="T67" s="1" t="str">
        <f t="shared" si="4"/>
        <v/>
      </c>
      <c r="U67" s="9" t="str">
        <f t="shared" si="5"/>
        <v/>
      </c>
      <c r="W67" s="1">
        <v>2700</v>
      </c>
      <c r="X67" s="1">
        <v>1</v>
      </c>
      <c r="Y67" s="1"/>
      <c r="Z67" s="1"/>
      <c r="AA67" s="1"/>
      <c r="AB67" s="1"/>
      <c r="AC67" s="1"/>
      <c r="AD67" s="1" t="s">
        <v>115</v>
      </c>
      <c r="AE67" s="1" t="s">
        <v>111</v>
      </c>
    </row>
    <row r="68" spans="1:31" x14ac:dyDescent="0.3">
      <c r="A68" s="1" t="s">
        <v>116</v>
      </c>
      <c r="B68" s="1" t="s">
        <v>25</v>
      </c>
      <c r="C68" s="1">
        <v>8</v>
      </c>
      <c r="D68" s="1">
        <v>0</v>
      </c>
      <c r="E68" s="1"/>
      <c r="G68" s="1"/>
      <c r="H68" s="1"/>
      <c r="I68" s="6"/>
      <c r="J68" s="6"/>
      <c r="Q68" s="1">
        <v>150.9</v>
      </c>
      <c r="R68" s="1">
        <v>150.9</v>
      </c>
      <c r="S68" s="1" t="str">
        <f t="shared" si="3"/>
        <v/>
      </c>
      <c r="T68" s="1" t="str">
        <f t="shared" si="4"/>
        <v/>
      </c>
      <c r="U68" s="9" t="str">
        <f t="shared" si="5"/>
        <v/>
      </c>
      <c r="W68" s="1">
        <v>2700</v>
      </c>
      <c r="X68" s="1">
        <v>1</v>
      </c>
      <c r="Y68" s="1"/>
      <c r="Z68" s="1"/>
      <c r="AA68" s="1"/>
      <c r="AB68" s="1"/>
      <c r="AC68" s="1"/>
      <c r="AD68" s="1" t="s">
        <v>117</v>
      </c>
      <c r="AE68" s="1" t="s">
        <v>111</v>
      </c>
    </row>
    <row r="69" spans="1:31" x14ac:dyDescent="0.3">
      <c r="A69" s="1" t="s">
        <v>118</v>
      </c>
      <c r="B69" s="1" t="s">
        <v>25</v>
      </c>
      <c r="C69" s="1">
        <v>8</v>
      </c>
      <c r="D69" s="1">
        <v>0</v>
      </c>
      <c r="E69" s="1"/>
      <c r="G69" s="1"/>
      <c r="H69" s="1"/>
      <c r="I69" s="6"/>
      <c r="J69" s="6"/>
      <c r="Q69" s="1">
        <v>150.9</v>
      </c>
      <c r="R69" s="1">
        <v>150.9</v>
      </c>
      <c r="S69" s="1" t="str">
        <f t="shared" si="3"/>
        <v/>
      </c>
      <c r="T69" s="1" t="str">
        <f t="shared" si="4"/>
        <v/>
      </c>
      <c r="U69" s="9" t="str">
        <f t="shared" si="5"/>
        <v/>
      </c>
      <c r="W69" s="1">
        <v>2700</v>
      </c>
      <c r="X69" s="1">
        <v>1</v>
      </c>
      <c r="Y69" s="1"/>
      <c r="Z69" s="1"/>
      <c r="AA69" s="1"/>
      <c r="AB69" s="1"/>
      <c r="AC69" s="1"/>
      <c r="AD69" s="1" t="s">
        <v>119</v>
      </c>
      <c r="AE69" s="1" t="s">
        <v>111</v>
      </c>
    </row>
    <row r="70" spans="1:31" x14ac:dyDescent="0.3">
      <c r="A70" s="1" t="s">
        <v>120</v>
      </c>
      <c r="B70" s="1" t="s">
        <v>25</v>
      </c>
      <c r="C70" s="1">
        <v>8</v>
      </c>
      <c r="D70" s="1">
        <v>0</v>
      </c>
      <c r="E70" s="1"/>
      <c r="G70" s="1"/>
      <c r="H70" s="1"/>
      <c r="I70" s="6"/>
      <c r="J70" s="6"/>
      <c r="Q70" s="1">
        <v>71.599999999999994</v>
      </c>
      <c r="R70" s="1">
        <v>71.599999999999994</v>
      </c>
      <c r="S70" s="1" t="str">
        <f t="shared" si="3"/>
        <v/>
      </c>
      <c r="T70" s="1" t="str">
        <f t="shared" si="4"/>
        <v/>
      </c>
      <c r="U70" s="9" t="str">
        <f t="shared" si="5"/>
        <v/>
      </c>
      <c r="W70" s="1">
        <v>1338.3</v>
      </c>
      <c r="X70" s="1">
        <v>5</v>
      </c>
      <c r="Y70" s="1"/>
      <c r="Z70" s="1"/>
      <c r="AA70" s="1"/>
      <c r="AB70" s="1"/>
      <c r="AC70" s="1"/>
      <c r="AD70" s="1" t="s">
        <v>121</v>
      </c>
      <c r="AE70" s="1" t="s">
        <v>122</v>
      </c>
    </row>
    <row r="71" spans="1:31" x14ac:dyDescent="0.3">
      <c r="A71" s="1" t="s">
        <v>123</v>
      </c>
      <c r="B71" s="1" t="s">
        <v>25</v>
      </c>
      <c r="C71" s="1">
        <v>8</v>
      </c>
      <c r="D71" s="1">
        <v>0</v>
      </c>
      <c r="E71" s="1"/>
      <c r="G71" s="1"/>
      <c r="H71" s="1"/>
      <c r="I71" s="6"/>
      <c r="J71" s="6"/>
      <c r="Q71" s="1">
        <v>71.599999999999994</v>
      </c>
      <c r="R71" s="1">
        <v>71.599999999999994</v>
      </c>
      <c r="S71" s="1" t="str">
        <f t="shared" si="3"/>
        <v/>
      </c>
      <c r="T71" s="1" t="str">
        <f t="shared" si="4"/>
        <v/>
      </c>
      <c r="U71" s="9" t="str">
        <f t="shared" si="5"/>
        <v/>
      </c>
      <c r="W71" s="1">
        <v>1338.3</v>
      </c>
      <c r="X71" s="1">
        <v>5</v>
      </c>
      <c r="Y71" s="1"/>
      <c r="Z71" s="1"/>
      <c r="AA71" s="1"/>
      <c r="AB71" s="1"/>
      <c r="AC71" s="1"/>
      <c r="AD71" s="1" t="s">
        <v>124</v>
      </c>
      <c r="AE71" s="1" t="s">
        <v>125</v>
      </c>
    </row>
    <row r="72" spans="1:31" x14ac:dyDescent="0.3">
      <c r="A72" s="1" t="s">
        <v>126</v>
      </c>
      <c r="B72" s="1">
        <v>600</v>
      </c>
      <c r="C72" s="1">
        <v>20</v>
      </c>
      <c r="D72" s="1">
        <v>0</v>
      </c>
      <c r="E72" s="1"/>
      <c r="G72" s="1"/>
      <c r="H72" s="1"/>
      <c r="I72" s="6"/>
      <c r="J72" s="6"/>
      <c r="Q72" s="1">
        <v>380.4</v>
      </c>
      <c r="R72" s="1">
        <v>380.4</v>
      </c>
      <c r="S72" s="1" t="str">
        <f t="shared" si="3"/>
        <v/>
      </c>
      <c r="T72" s="1" t="str">
        <f t="shared" si="4"/>
        <v/>
      </c>
      <c r="U72" s="9" t="str">
        <f t="shared" si="5"/>
        <v/>
      </c>
      <c r="W72" s="1">
        <v>0</v>
      </c>
      <c r="X72" s="1">
        <v>0</v>
      </c>
      <c r="Y72" s="1"/>
      <c r="Z72" s="1"/>
      <c r="AA72" s="1"/>
      <c r="AB72" s="1"/>
      <c r="AC72" s="1"/>
      <c r="AD72" s="1" t="s">
        <v>127</v>
      </c>
      <c r="AE72" s="1" t="s">
        <v>128</v>
      </c>
    </row>
    <row r="73" spans="1:31" x14ac:dyDescent="0.3">
      <c r="A73" s="1" t="s">
        <v>129</v>
      </c>
      <c r="B73" s="1">
        <v>600</v>
      </c>
      <c r="C73" s="1">
        <v>20</v>
      </c>
      <c r="D73" s="1">
        <v>0</v>
      </c>
      <c r="E73" s="1"/>
      <c r="G73" s="1"/>
      <c r="H73" s="1"/>
      <c r="I73" s="6"/>
      <c r="J73" s="6"/>
      <c r="Q73" s="1">
        <v>380.4</v>
      </c>
      <c r="R73" s="1">
        <v>380.4</v>
      </c>
      <c r="S73" s="1" t="str">
        <f t="shared" si="3"/>
        <v/>
      </c>
      <c r="T73" s="1" t="str">
        <f t="shared" si="4"/>
        <v/>
      </c>
      <c r="U73" s="9" t="str">
        <f t="shared" si="5"/>
        <v/>
      </c>
      <c r="W73" s="1">
        <v>0</v>
      </c>
      <c r="X73" s="1">
        <v>0</v>
      </c>
      <c r="Y73" s="1"/>
      <c r="Z73" s="1"/>
      <c r="AA73" s="1"/>
      <c r="AB73" s="1"/>
      <c r="AC73" s="1"/>
      <c r="AD73" s="1" t="s">
        <v>130</v>
      </c>
      <c r="AE73" s="1" t="s">
        <v>128</v>
      </c>
    </row>
    <row r="76" spans="1:31" x14ac:dyDescent="0.3">
      <c r="A76" t="s">
        <v>137</v>
      </c>
      <c r="E76" t="s">
        <v>150</v>
      </c>
      <c r="I76">
        <v>428</v>
      </c>
      <c r="R76">
        <v>430</v>
      </c>
      <c r="S76" t="str">
        <f>IF(AND(ISNUMBER(Q76),ISNUMBER(G76)),Q76-G76,"")</f>
        <v/>
      </c>
      <c r="T76">
        <f>IF(AND(ISNUMBER(R76),ISNUMBER(I76)),R76-I76,"")</f>
        <v>2</v>
      </c>
      <c r="U76" s="10">
        <f>IF(AND(ISNUMBER(R76),ISNUMBER(I76),I76&lt;&gt;0),(R76-I76)/I76,"")</f>
        <v>4.6728971962616819E-3</v>
      </c>
      <c r="AE76" t="s">
        <v>138</v>
      </c>
    </row>
    <row r="77" spans="1:31" x14ac:dyDescent="0.3">
      <c r="A77" t="s">
        <v>139</v>
      </c>
      <c r="E77" t="s">
        <v>151</v>
      </c>
      <c r="I77">
        <v>275</v>
      </c>
      <c r="J77">
        <v>286</v>
      </c>
      <c r="R77">
        <v>297</v>
      </c>
      <c r="S77" t="str">
        <f>IF(AND(ISNUMBER(Q77),ISNUMBER(G77)),Q77-G77,"")</f>
        <v/>
      </c>
      <c r="T77">
        <f>IF(AND(ISNUMBER(R77),ISNUMBER(I77)),R77-I77,"")</f>
        <v>22</v>
      </c>
      <c r="U77" s="10">
        <f>IF(AND(ISNUMBER(R77),ISNUMBER(I77),I77&lt;&gt;0),(R77-I77)/I77,"")</f>
        <v>0.08</v>
      </c>
      <c r="AE77" t="s">
        <v>138</v>
      </c>
    </row>
    <row r="78" spans="1:31" x14ac:dyDescent="0.3">
      <c r="A78" t="s">
        <v>140</v>
      </c>
      <c r="C78">
        <v>27</v>
      </c>
      <c r="E78" t="s">
        <v>152</v>
      </c>
      <c r="I78">
        <v>381</v>
      </c>
      <c r="R78">
        <v>393</v>
      </c>
      <c r="S78" t="str">
        <f>IF(AND(ISNUMBER(Q78),ISNUMBER(G78)),Q78-G78,"")</f>
        <v/>
      </c>
      <c r="T78">
        <f>IF(AND(ISNUMBER(R78),ISNUMBER(I78)),R78-I78,"")</f>
        <v>12</v>
      </c>
      <c r="U78" s="10">
        <f>IF(AND(ISNUMBER(R78),ISNUMBER(I78),I78&lt;&gt;0),(R78-I78)/I78,"")</f>
        <v>3.1496062992125984E-2</v>
      </c>
      <c r="AE78" t="s">
        <v>138</v>
      </c>
    </row>
    <row r="79" spans="1:31" x14ac:dyDescent="0.3">
      <c r="A79" t="s">
        <v>141</v>
      </c>
      <c r="C79">
        <v>27</v>
      </c>
      <c r="E79" t="s">
        <v>152</v>
      </c>
      <c r="I79">
        <v>695</v>
      </c>
      <c r="J79">
        <v>728</v>
      </c>
      <c r="R79">
        <v>706</v>
      </c>
      <c r="S79" t="str">
        <f>IF(AND(ISNUMBER(Q79),ISNUMBER(G79)),Q79-G79,"")</f>
        <v/>
      </c>
      <c r="T79">
        <f>IF(AND(ISNUMBER(R79),ISNUMBER(I79)),R79-I79,"")</f>
        <v>11</v>
      </c>
      <c r="U79" s="10">
        <f>IF(AND(ISNUMBER(R79),ISNUMBER(I79),I79&lt;&gt;0),(R79-I79)/I79,"")</f>
        <v>1.5827338129496403E-2</v>
      </c>
      <c r="AE79" t="s">
        <v>138</v>
      </c>
    </row>
    <row r="80" spans="1:31" x14ac:dyDescent="0.3">
      <c r="A80" t="s">
        <v>142</v>
      </c>
      <c r="E80" t="s">
        <v>153</v>
      </c>
      <c r="I80">
        <v>323</v>
      </c>
      <c r="R80">
        <v>326</v>
      </c>
      <c r="S80" t="str">
        <f>IF(AND(ISNUMBER(Q80),ISNUMBER(G80)),Q80-G80,"")</f>
        <v/>
      </c>
      <c r="T80">
        <f>IF(AND(ISNUMBER(R80),ISNUMBER(I80)),R80-I80,"")</f>
        <v>3</v>
      </c>
      <c r="U80" s="10">
        <f>IF(AND(ISNUMBER(R80),ISNUMBER(I80),I80&lt;&gt;0),(R80-I80)/I80,"")</f>
        <v>9.2879256965944269E-3</v>
      </c>
      <c r="AE80" t="s">
        <v>138</v>
      </c>
    </row>
    <row r="96" spans="1:1" x14ac:dyDescent="0.3">
      <c r="A96" s="1"/>
    </row>
    <row r="97" spans="1:5" x14ac:dyDescent="0.3">
      <c r="A97" s="1"/>
    </row>
    <row r="98" spans="1:5" x14ac:dyDescent="0.3">
      <c r="A98" s="1"/>
    </row>
    <row r="99" spans="1:5" x14ac:dyDescent="0.3">
      <c r="A99" s="1"/>
    </row>
    <row r="100" spans="1:5" x14ac:dyDescent="0.3">
      <c r="A100" s="1"/>
    </row>
    <row r="102" spans="1:5" x14ac:dyDescent="0.3">
      <c r="E102" s="13"/>
    </row>
    <row r="104" spans="1:5" x14ac:dyDescent="0.3">
      <c r="A104" s="1"/>
    </row>
  </sheetData>
  <pageMargins left="0.75" right="0.75" top="1" bottom="1" header="0.5" footer="0.5"/>
  <pageSetup paperSize="9" scale="18" fitToWidth="0" fitToHeight="0" orientation="portrait"/>
  <ignoredErrors>
    <ignoredError sqref="C35:C36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92E11-B679-4D3F-BE48-D002695F10FF}">
  <dimension ref="A1:D16"/>
  <sheetViews>
    <sheetView tabSelected="1" workbookViewId="0">
      <selection activeCell="F15" sqref="F15"/>
    </sheetView>
  </sheetViews>
  <sheetFormatPr baseColWidth="10" defaultRowHeight="14.4" x14ac:dyDescent="0.3"/>
  <cols>
    <col min="1" max="1" width="14.33203125" customWidth="1"/>
  </cols>
  <sheetData>
    <row r="1" spans="1:4" x14ac:dyDescent="0.3">
      <c r="A1" s="1" t="s">
        <v>143</v>
      </c>
    </row>
    <row r="2" spans="1:4" x14ac:dyDescent="0.3">
      <c r="A2" s="6" t="s">
        <v>154</v>
      </c>
      <c r="B2" s="16">
        <v>120</v>
      </c>
      <c r="C2" s="14" t="s">
        <v>147</v>
      </c>
      <c r="D2" s="13" t="str">
        <f>IF(ISNUMBER(B2),INT(B2/60)&amp;":"&amp;TEXT(MOD(B2,60),"00"),"")</f>
        <v>2:00</v>
      </c>
    </row>
    <row r="3" spans="1:4" x14ac:dyDescent="0.3">
      <c r="A3" s="6" t="s">
        <v>155</v>
      </c>
      <c r="B3" s="15" t="s">
        <v>148</v>
      </c>
      <c r="C3" s="14" t="s">
        <v>147</v>
      </c>
      <c r="D3">
        <f>IFERROR(VALUE(LEFT(B3,FIND(":",B3)-1))*60+VALUE(MID(B3,FIND(":",B3)+1,9)),"")</f>
        <v>72</v>
      </c>
    </row>
    <row r="5" spans="1:4" x14ac:dyDescent="0.3">
      <c r="A5" s="6" t="s">
        <v>131</v>
      </c>
      <c r="B5" s="6" t="s">
        <v>156</v>
      </c>
      <c r="C5" s="6"/>
      <c r="D5" s="6"/>
    </row>
    <row r="6" spans="1:4" x14ac:dyDescent="0.3">
      <c r="A6" s="6" t="s">
        <v>132</v>
      </c>
      <c r="B6" s="6" t="s">
        <v>157</v>
      </c>
      <c r="C6" s="6"/>
      <c r="D6" s="6"/>
    </row>
    <row r="7" spans="1:4" x14ac:dyDescent="0.3">
      <c r="A7" s="6" t="s">
        <v>133</v>
      </c>
      <c r="B7" s="6" t="s">
        <v>158</v>
      </c>
      <c r="C7" s="6"/>
      <c r="D7" s="6"/>
    </row>
    <row r="8" spans="1:4" x14ac:dyDescent="0.3">
      <c r="A8" s="6" t="s">
        <v>134</v>
      </c>
      <c r="B8" s="6" t="s">
        <v>159</v>
      </c>
      <c r="C8" s="6"/>
      <c r="D8" s="6"/>
    </row>
    <row r="9" spans="1:4" x14ac:dyDescent="0.3">
      <c r="A9" s="6" t="s">
        <v>135</v>
      </c>
      <c r="B9" s="6" t="s">
        <v>160</v>
      </c>
      <c r="C9" s="6"/>
      <c r="D9" s="6"/>
    </row>
    <row r="10" spans="1:4" x14ac:dyDescent="0.3">
      <c r="A10" s="6" t="s">
        <v>136</v>
      </c>
      <c r="B10" s="6" t="s">
        <v>161</v>
      </c>
      <c r="C10" s="6"/>
      <c r="D10" s="6"/>
    </row>
    <row r="11" spans="1:4" x14ac:dyDescent="0.3">
      <c r="A11" s="6"/>
      <c r="B11" s="6"/>
      <c r="C11" s="6"/>
      <c r="D11" s="6"/>
    </row>
    <row r="12" spans="1:4" x14ac:dyDescent="0.3">
      <c r="A12" s="6" t="s">
        <v>10</v>
      </c>
      <c r="B12" s="6" t="s">
        <v>162</v>
      </c>
      <c r="C12" s="6"/>
      <c r="D12" s="6"/>
    </row>
    <row r="13" spans="1:4" x14ac:dyDescent="0.3">
      <c r="A13" s="6" t="s">
        <v>11</v>
      </c>
      <c r="B13" s="6" t="s">
        <v>163</v>
      </c>
      <c r="C13" s="6"/>
      <c r="D13" s="6"/>
    </row>
    <row r="14" spans="1:4" x14ac:dyDescent="0.3">
      <c r="A14" s="6" t="s">
        <v>12</v>
      </c>
      <c r="B14" s="6" t="s">
        <v>164</v>
      </c>
      <c r="C14" s="6"/>
      <c r="D14" s="6"/>
    </row>
    <row r="15" spans="1:4" x14ac:dyDescent="0.3">
      <c r="A15" s="6" t="s">
        <v>13</v>
      </c>
      <c r="B15" s="6" t="s">
        <v>165</v>
      </c>
      <c r="C15" s="6"/>
      <c r="D15" s="6"/>
    </row>
    <row r="16" spans="1:4" x14ac:dyDescent="0.3">
      <c r="A16" s="6" t="s">
        <v>14</v>
      </c>
      <c r="B16" s="6" t="s">
        <v>166</v>
      </c>
      <c r="C16" s="6"/>
      <c r="D16" s="6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Messprotokoll</vt:lpstr>
      <vt:lpstr>Legende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Grottendieck</cp:lastModifiedBy>
  <dcterms:created xsi:type="dcterms:W3CDTF">2026-07-16T21:13:48Z</dcterms:created>
  <dcterms:modified xsi:type="dcterms:W3CDTF">2026-09-02T11:28:08Z</dcterms:modified>
</cp:coreProperties>
</file>